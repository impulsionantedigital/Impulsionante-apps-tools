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d.docs.live.net/cf0459ee30c8e601/Área de Trabalho/Planilha Indulto/Indulto 2025/"/>
    </mc:Choice>
  </mc:AlternateContent>
  <xr:revisionPtr revIDLastSave="0" documentId="8_{637C2119-1240-43E5-A203-3D298B3666C3}" xr6:coauthVersionLast="47" xr6:coauthVersionMax="47" xr10:uidLastSave="{00000000-0000-0000-0000-000000000000}"/>
  <bookViews>
    <workbookView xWindow="-120" yWindow="-120" windowWidth="20730" windowHeight="11160" xr2:uid="{00000000-000D-0000-FFFF-FFFF00000000}"/>
  </bookViews>
  <sheets>
    <sheet name="Questionario" sheetId="1" r:id="rId1"/>
    <sheet name="Cálculo" sheetId="3" r:id="rId2"/>
    <sheet name="Resultado" sheetId="2" r:id="rId3"/>
    <sheet name="Valid_dados" sheetId="4" r:id="rId4"/>
    <sheet name="Somar tempo - Calcular Data" sheetId="5" r:id="rId5"/>
  </sheets>
  <definedNames>
    <definedName name="_xlnm.Print_Area" localSheetId="2">Resultado!$C$3:$E$70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3" l="1"/>
  <c r="I36" i="3"/>
  <c r="I35" i="3"/>
  <c r="I34" i="3"/>
  <c r="I33" i="3"/>
  <c r="I32" i="3"/>
  <c r="I39" i="3"/>
  <c r="C11" i="5"/>
  <c r="F30" i="5"/>
  <c r="D30" i="5" s="1"/>
  <c r="F24" i="5"/>
  <c r="H24" i="5" s="1"/>
  <c r="E24" i="5"/>
  <c r="G17" i="5"/>
  <c r="K17" i="5" s="1"/>
  <c r="G16" i="5"/>
  <c r="K16" i="5" s="1"/>
  <c r="D11" i="5"/>
  <c r="B11" i="5"/>
  <c r="G10" i="5"/>
  <c r="G9" i="5"/>
  <c r="G8" i="5"/>
  <c r="G7" i="5"/>
  <c r="G6" i="5"/>
  <c r="I135" i="3" l="1"/>
  <c r="I132" i="3"/>
  <c r="K40" i="3"/>
  <c r="G18" i="5"/>
  <c r="K18" i="5" s="1"/>
  <c r="I16" i="5"/>
  <c r="J16" i="5"/>
  <c r="G11" i="5"/>
  <c r="I17" i="5"/>
  <c r="J17" i="5"/>
  <c r="I18" i="5" l="1"/>
  <c r="B18" i="5" s="1"/>
  <c r="J18" i="5"/>
  <c r="I40" i="3" l="1"/>
  <c r="I60" i="3" l="1"/>
  <c r="F30" i="3" l="1"/>
  <c r="E30" i="3"/>
  <c r="D30" i="3"/>
  <c r="D28" i="3"/>
  <c r="E28" i="3"/>
  <c r="F28" i="3"/>
  <c r="I70" i="3"/>
  <c r="I30" i="3" l="1"/>
  <c r="D49" i="3"/>
  <c r="I41" i="3"/>
  <c r="I38" i="3" l="1"/>
  <c r="I43" i="3"/>
  <c r="I52" i="3"/>
  <c r="F123" i="3" s="1"/>
  <c r="F124" i="3" s="1"/>
  <c r="I67" i="3"/>
  <c r="K123" i="3" s="1"/>
  <c r="K124" i="3" s="1"/>
  <c r="I136" i="3" l="1"/>
  <c r="I133" i="3"/>
  <c r="I71" i="3"/>
  <c r="G111" i="3" s="1"/>
  <c r="G112" i="3" s="1"/>
  <c r="I69" i="3"/>
  <c r="I62" i="3"/>
  <c r="G105" i="3" s="1"/>
  <c r="G106" i="3" s="1"/>
  <c r="I68" i="3"/>
  <c r="I99" i="3" s="1"/>
  <c r="I57" i="3"/>
  <c r="G114" i="3" s="1"/>
  <c r="G115" i="3" s="1"/>
  <c r="I21" i="3"/>
  <c r="R102" i="3" l="1"/>
  <c r="R103" i="3" s="1"/>
  <c r="I102" i="3"/>
  <c r="I103" i="3" s="1"/>
  <c r="I100" i="3"/>
  <c r="R99" i="3"/>
  <c r="R100" i="3" s="1"/>
  <c r="M12" i="3"/>
  <c r="L12" i="3"/>
  <c r="K12" i="3"/>
  <c r="M11" i="3"/>
  <c r="L11" i="3"/>
  <c r="K11" i="3"/>
  <c r="I47" i="3"/>
  <c r="K87" i="3" s="1"/>
  <c r="I46" i="3"/>
  <c r="Q75" i="3" s="1"/>
  <c r="Q76" i="3" s="1"/>
  <c r="I45" i="3"/>
  <c r="I44" i="3"/>
  <c r="I42" i="3"/>
  <c r="I25" i="3"/>
  <c r="K6" i="3"/>
  <c r="L6" i="3"/>
  <c r="M6" i="3"/>
  <c r="K7" i="3"/>
  <c r="L7" i="3"/>
  <c r="M7" i="3"/>
  <c r="K8" i="3"/>
  <c r="L8" i="3"/>
  <c r="M8" i="3"/>
  <c r="I18" i="3"/>
  <c r="G75" i="3" s="1"/>
  <c r="G76" i="3" s="1"/>
  <c r="I20" i="3"/>
  <c r="I22" i="3"/>
  <c r="I23" i="3"/>
  <c r="I24" i="3"/>
  <c r="I26" i="3"/>
  <c r="I31" i="3"/>
  <c r="I51" i="3"/>
  <c r="D53" i="3"/>
  <c r="I55" i="3"/>
  <c r="I56" i="3"/>
  <c r="G117" i="3" s="1"/>
  <c r="D59" i="3"/>
  <c r="I63" i="3"/>
  <c r="H102" i="3" s="1"/>
  <c r="I64" i="3"/>
  <c r="I65" i="3"/>
  <c r="I66" i="3"/>
  <c r="I72" i="3"/>
  <c r="K75" i="3" s="1"/>
  <c r="K76" i="3" s="1"/>
  <c r="I141" i="3" l="1"/>
  <c r="I142" i="3" s="1"/>
  <c r="P84" i="3"/>
  <c r="P93" i="3"/>
  <c r="P94" i="3" s="1"/>
  <c r="P105" i="3"/>
  <c r="P106" i="3" s="1"/>
  <c r="P81" i="3"/>
  <c r="P82" i="3" s="1"/>
  <c r="P78" i="3"/>
  <c r="P79" i="3" s="1"/>
  <c r="P102" i="3"/>
  <c r="P103" i="3" s="1"/>
  <c r="P99" i="3"/>
  <c r="P100" i="3" s="1"/>
  <c r="P75" i="3"/>
  <c r="P76" i="3" s="1"/>
  <c r="P87" i="3"/>
  <c r="P88" i="3" s="1"/>
  <c r="P96" i="3"/>
  <c r="P97" i="3" s="1"/>
  <c r="P90" i="3"/>
  <c r="P91" i="3" s="1"/>
  <c r="E75" i="3"/>
  <c r="E76" i="3" s="1"/>
  <c r="K117" i="3"/>
  <c r="K118" i="3" s="1"/>
  <c r="K81" i="3"/>
  <c r="K82" i="3" s="1"/>
  <c r="K78" i="3"/>
  <c r="K79" i="3" s="1"/>
  <c r="J132" i="3"/>
  <c r="J133" i="3" s="1"/>
  <c r="J135" i="3"/>
  <c r="J136" i="3" s="1"/>
  <c r="F132" i="3"/>
  <c r="F133" i="3" s="1"/>
  <c r="F135" i="3"/>
  <c r="F136" i="3" s="1"/>
  <c r="K135" i="3"/>
  <c r="K136" i="3" s="1"/>
  <c r="K132" i="3"/>
  <c r="K133" i="3" s="1"/>
  <c r="E132" i="3"/>
  <c r="E133" i="3" s="1"/>
  <c r="E135" i="3"/>
  <c r="E136" i="3" s="1"/>
  <c r="F129" i="3"/>
  <c r="F130" i="3" s="1"/>
  <c r="E129" i="3"/>
  <c r="E130" i="3" s="1"/>
  <c r="K129" i="3"/>
  <c r="K130" i="3" s="1"/>
  <c r="J129" i="3"/>
  <c r="J130" i="3" s="1"/>
  <c r="E126" i="3"/>
  <c r="E127" i="3" s="1"/>
  <c r="E123" i="3"/>
  <c r="E124" i="3" s="1"/>
  <c r="L123" i="3"/>
  <c r="L124" i="3" s="1"/>
  <c r="F138" i="3"/>
  <c r="F139" i="3" s="1"/>
  <c r="G123" i="3"/>
  <c r="G124" i="3" s="1"/>
  <c r="G120" i="3"/>
  <c r="G121" i="3" s="1"/>
  <c r="E120" i="3"/>
  <c r="E121" i="3" s="1"/>
  <c r="E117" i="3"/>
  <c r="E118" i="3" s="1"/>
  <c r="F120" i="3"/>
  <c r="F121" i="3" s="1"/>
  <c r="H117" i="3"/>
  <c r="H118" i="3" s="1"/>
  <c r="F117" i="3"/>
  <c r="F118" i="3" s="1"/>
  <c r="G118" i="3"/>
  <c r="E114" i="3"/>
  <c r="E115" i="3" s="1"/>
  <c r="E111" i="3"/>
  <c r="E112" i="3" s="1"/>
  <c r="F114" i="3"/>
  <c r="F115" i="3" s="1"/>
  <c r="E108" i="3"/>
  <c r="E109" i="3" s="1"/>
  <c r="H111" i="3"/>
  <c r="H112" i="3" s="1"/>
  <c r="H108" i="3"/>
  <c r="H109" i="3" s="1"/>
  <c r="G108" i="3"/>
  <c r="G109" i="3" s="1"/>
  <c r="Q105" i="3"/>
  <c r="Q106" i="3" s="1"/>
  <c r="E105" i="3"/>
  <c r="E106" i="3" s="1"/>
  <c r="H105" i="3"/>
  <c r="H106" i="3" s="1"/>
  <c r="Q102" i="3"/>
  <c r="Q103" i="3" s="1"/>
  <c r="E102" i="3"/>
  <c r="E103" i="3" s="1"/>
  <c r="L105" i="3"/>
  <c r="L106" i="3" s="1"/>
  <c r="F96" i="3"/>
  <c r="F97" i="3" s="1"/>
  <c r="K90" i="3"/>
  <c r="K91" i="3" s="1"/>
  <c r="H103" i="3"/>
  <c r="F102" i="3"/>
  <c r="F103" i="3" s="1"/>
  <c r="G96" i="3"/>
  <c r="G97" i="3" s="1"/>
  <c r="Q99" i="3"/>
  <c r="Q100" i="3" s="1"/>
  <c r="E99" i="3"/>
  <c r="E100" i="3" s="1"/>
  <c r="E96" i="3"/>
  <c r="E97" i="3" s="1"/>
  <c r="G93" i="3"/>
  <c r="G94" i="3" s="1"/>
  <c r="G99" i="3"/>
  <c r="G100" i="3" s="1"/>
  <c r="Q96" i="3"/>
  <c r="Q97" i="3" s="1"/>
  <c r="F93" i="3"/>
  <c r="F94" i="3" s="1"/>
  <c r="F99" i="3"/>
  <c r="F100" i="3" s="1"/>
  <c r="Q78" i="3"/>
  <c r="Q79" i="3" s="1"/>
  <c r="Q93" i="3"/>
  <c r="Q94" i="3" s="1"/>
  <c r="Q90" i="3"/>
  <c r="Q91" i="3" s="1"/>
  <c r="E90" i="3"/>
  <c r="E91" i="3" s="1"/>
  <c r="E93" i="3"/>
  <c r="E94" i="3" s="1"/>
  <c r="F53" i="3"/>
  <c r="G53" i="3" s="1"/>
  <c r="E87" i="3"/>
  <c r="E88" i="3" s="1"/>
  <c r="E84" i="3"/>
  <c r="E85" i="3" s="1"/>
  <c r="E81" i="3"/>
  <c r="E82" i="3" s="1"/>
  <c r="E78" i="3"/>
  <c r="E79" i="3" s="1"/>
  <c r="P7" i="3"/>
  <c r="F87" i="3"/>
  <c r="F88" i="3" s="1"/>
  <c r="F90" i="3"/>
  <c r="F91" i="3" s="1"/>
  <c r="Q87" i="3"/>
  <c r="Q88" i="3" s="1"/>
  <c r="P11" i="3"/>
  <c r="K88" i="3"/>
  <c r="I28" i="3"/>
  <c r="H90" i="3" s="1"/>
  <c r="M13" i="3"/>
  <c r="K9" i="3"/>
  <c r="L13" i="3"/>
  <c r="Q84" i="3"/>
  <c r="Q85" i="3" s="1"/>
  <c r="O11" i="3"/>
  <c r="K13" i="3"/>
  <c r="O12" i="3"/>
  <c r="P12" i="3"/>
  <c r="N12" i="3"/>
  <c r="N11" i="3"/>
  <c r="F84" i="3"/>
  <c r="F85" i="3" s="1"/>
  <c r="Q81" i="3"/>
  <c r="Q82" i="3" s="1"/>
  <c r="G78" i="3"/>
  <c r="G79" i="3" s="1"/>
  <c r="G81" i="3"/>
  <c r="G82" i="3" s="1"/>
  <c r="N7" i="3"/>
  <c r="I7" i="3" s="1"/>
  <c r="N8" i="3"/>
  <c r="F141" i="3"/>
  <c r="F142" i="3" s="1"/>
  <c r="O7" i="3"/>
  <c r="P8" i="3"/>
  <c r="O8" i="3"/>
  <c r="F49" i="3"/>
  <c r="R84" i="3" s="1"/>
  <c r="E138" i="3"/>
  <c r="E139" i="3" s="1"/>
  <c r="N6" i="3"/>
  <c r="O6" i="3"/>
  <c r="M9" i="3"/>
  <c r="L9" i="3"/>
  <c r="P6" i="3"/>
  <c r="F126" i="3"/>
  <c r="F127" i="3" s="1"/>
  <c r="E141" i="3"/>
  <c r="E142" i="3" s="1"/>
  <c r="C64" i="2"/>
  <c r="J75" i="3" l="1"/>
  <c r="J76" i="3" s="1"/>
  <c r="I8" i="3"/>
  <c r="H75" i="3"/>
  <c r="H76" i="3" s="1"/>
  <c r="I6" i="3"/>
  <c r="J6" i="3"/>
  <c r="H84" i="3"/>
  <c r="H85" i="3" s="1"/>
  <c r="K111" i="3"/>
  <c r="K112" i="3" s="1"/>
  <c r="J123" i="3"/>
  <c r="J124" i="3" s="1"/>
  <c r="K108" i="3"/>
  <c r="K109" i="3" s="1"/>
  <c r="J93" i="3"/>
  <c r="J94" i="3" s="1"/>
  <c r="R90" i="3"/>
  <c r="R91" i="3" s="1"/>
  <c r="N13" i="3"/>
  <c r="R87" i="3" s="1"/>
  <c r="O13" i="3"/>
  <c r="H135" i="3"/>
  <c r="H136" i="3" s="1"/>
  <c r="H132" i="3"/>
  <c r="H133" i="3" s="1"/>
  <c r="H129" i="3"/>
  <c r="H130" i="3" s="1"/>
  <c r="I123" i="3"/>
  <c r="I124" i="3" s="1"/>
  <c r="J117" i="3"/>
  <c r="J118" i="3" s="1"/>
  <c r="I120" i="3"/>
  <c r="I121" i="3" s="1"/>
  <c r="J102" i="3"/>
  <c r="J103" i="3" s="1"/>
  <c r="I114" i="3"/>
  <c r="I115" i="3" s="1"/>
  <c r="K105" i="3"/>
  <c r="K106" i="3" s="1"/>
  <c r="J99" i="3"/>
  <c r="J100" i="3" s="1"/>
  <c r="J7" i="3"/>
  <c r="H7" i="3"/>
  <c r="H6" i="3"/>
  <c r="H8" i="3"/>
  <c r="J8" i="3"/>
  <c r="P13" i="3"/>
  <c r="J96" i="3"/>
  <c r="J97" i="3" s="1"/>
  <c r="H91" i="3"/>
  <c r="J81" i="3"/>
  <c r="J82" i="3" s="1"/>
  <c r="I90" i="3"/>
  <c r="I91" i="3" s="1"/>
  <c r="I87" i="3"/>
  <c r="I88" i="3" s="1"/>
  <c r="I84" i="3"/>
  <c r="I85" i="3" s="1"/>
  <c r="R85" i="3"/>
  <c r="P85" i="3"/>
  <c r="G49" i="3"/>
  <c r="E8" i="3"/>
  <c r="J78" i="3"/>
  <c r="J79" i="3" s="1"/>
  <c r="E7" i="3"/>
  <c r="D7" i="3"/>
  <c r="G7" i="3"/>
  <c r="F7" i="3"/>
  <c r="F6" i="3"/>
  <c r="D6" i="3"/>
  <c r="G126" i="3"/>
  <c r="G127" i="3" s="1"/>
  <c r="O126" i="3" s="1"/>
  <c r="D43" i="2" s="1"/>
  <c r="I138" i="3"/>
  <c r="I139" i="3" s="1"/>
  <c r="D8" i="3"/>
  <c r="G8" i="3"/>
  <c r="F8" i="3"/>
  <c r="J141" i="3"/>
  <c r="J142" i="3" s="1"/>
  <c r="P9" i="3"/>
  <c r="O9" i="3"/>
  <c r="E6" i="3"/>
  <c r="G6" i="3"/>
  <c r="N9" i="3"/>
  <c r="F75" i="3" s="1"/>
  <c r="F76" i="3" s="1"/>
  <c r="D6" i="2"/>
  <c r="C6" i="2"/>
  <c r="M123" i="3" l="1"/>
  <c r="M124" i="3" s="1"/>
  <c r="J108" i="3"/>
  <c r="J109" i="3" s="1"/>
  <c r="R75" i="3"/>
  <c r="R76" i="3" s="1"/>
  <c r="T75" i="3" s="1"/>
  <c r="I75" i="3"/>
  <c r="I76" i="3" s="1"/>
  <c r="O75" i="3" s="1"/>
  <c r="J90" i="3"/>
  <c r="J91" i="3" s="1"/>
  <c r="S105" i="3"/>
  <c r="S106" i="3" s="1"/>
  <c r="M105" i="3"/>
  <c r="M106" i="3" s="1"/>
  <c r="J114" i="3"/>
  <c r="J115" i="3" s="1"/>
  <c r="I117" i="3"/>
  <c r="I118" i="3" s="1"/>
  <c r="O117" i="3" s="1"/>
  <c r="D37" i="2" s="1"/>
  <c r="L135" i="3"/>
  <c r="L136" i="3" s="1"/>
  <c r="L132" i="3"/>
  <c r="L133" i="3" s="1"/>
  <c r="L129" i="3"/>
  <c r="L130" i="3" s="1"/>
  <c r="H114" i="3"/>
  <c r="H115" i="3" s="1"/>
  <c r="J111" i="3"/>
  <c r="J112" i="3" s="1"/>
  <c r="J105" i="3"/>
  <c r="J106" i="3" s="1"/>
  <c r="I93" i="3"/>
  <c r="I94" i="3" s="1"/>
  <c r="J84" i="3"/>
  <c r="J85" i="3" s="1"/>
  <c r="S84" i="3"/>
  <c r="S85" i="3" s="1"/>
  <c r="I81" i="3"/>
  <c r="I82" i="3" s="1"/>
  <c r="R93" i="3"/>
  <c r="R94" i="3" s="1"/>
  <c r="R105" i="3"/>
  <c r="R106" i="3" s="1"/>
  <c r="G132" i="3"/>
  <c r="G133" i="3" s="1"/>
  <c r="R78" i="3"/>
  <c r="R79" i="3" s="1"/>
  <c r="N14" i="3"/>
  <c r="M14" i="3" s="1"/>
  <c r="P14" i="3"/>
  <c r="G87" i="3"/>
  <c r="G88" i="3" s="1"/>
  <c r="H93" i="3"/>
  <c r="H94" i="3" s="1"/>
  <c r="I111" i="3"/>
  <c r="I112" i="3" s="1"/>
  <c r="G135" i="3"/>
  <c r="G136" i="3" s="1"/>
  <c r="H99" i="3"/>
  <c r="H100" i="3" s="1"/>
  <c r="O99" i="3" s="1"/>
  <c r="D25" i="2" s="1"/>
  <c r="H123" i="3"/>
  <c r="H124" i="3" s="1"/>
  <c r="H96" i="3"/>
  <c r="H97" i="3" s="1"/>
  <c r="G102" i="3"/>
  <c r="G103" i="3" s="1"/>
  <c r="T102" i="3" s="1"/>
  <c r="G138" i="3"/>
  <c r="G139" i="3" s="1"/>
  <c r="H120" i="3"/>
  <c r="H121" i="3" s="1"/>
  <c r="O120" i="3" s="1"/>
  <c r="D39" i="2" s="1"/>
  <c r="G90" i="3"/>
  <c r="G91" i="3" s="1"/>
  <c r="I105" i="3"/>
  <c r="I106" i="3" s="1"/>
  <c r="G129" i="3"/>
  <c r="G130" i="3" s="1"/>
  <c r="I108" i="3"/>
  <c r="I109" i="3" s="1"/>
  <c r="I129" i="3"/>
  <c r="I130" i="3" s="1"/>
  <c r="F111" i="3"/>
  <c r="F112" i="3" s="1"/>
  <c r="H87" i="3"/>
  <c r="H88" i="3" s="1"/>
  <c r="F108" i="3"/>
  <c r="F109" i="3" s="1"/>
  <c r="F105" i="3"/>
  <c r="F106" i="3" s="1"/>
  <c r="F81" i="3"/>
  <c r="F82" i="3" s="1"/>
  <c r="S90" i="3"/>
  <c r="S91" i="3" s="1"/>
  <c r="J87" i="3"/>
  <c r="J88" i="3" s="1"/>
  <c r="R88" i="3"/>
  <c r="S87" i="3"/>
  <c r="S88" i="3" s="1"/>
  <c r="G84" i="3"/>
  <c r="G85" i="3" s="1"/>
  <c r="H78" i="3"/>
  <c r="H79" i="3" s="1"/>
  <c r="H81" i="3"/>
  <c r="H82" i="3" s="1"/>
  <c r="G141" i="3"/>
  <c r="G142" i="3" s="1"/>
  <c r="I78" i="3"/>
  <c r="I79" i="3" s="1"/>
  <c r="R81" i="3"/>
  <c r="R82" i="3" s="1"/>
  <c r="G156" i="3"/>
  <c r="I156" i="3" s="1"/>
  <c r="F78" i="3"/>
  <c r="F79" i="3" s="1"/>
  <c r="P17" i="3"/>
  <c r="P15" i="3"/>
  <c r="N15" i="3"/>
  <c r="L15" i="3" s="1"/>
  <c r="H154" i="3"/>
  <c r="I154" i="3"/>
  <c r="J154" i="3"/>
  <c r="G155" i="3"/>
  <c r="J155" i="3" s="1"/>
  <c r="G157" i="3"/>
  <c r="H157" i="3" s="1"/>
  <c r="G158" i="3"/>
  <c r="I158" i="3" s="1"/>
  <c r="P16" i="3"/>
  <c r="H2" i="3"/>
  <c r="H138" i="3"/>
  <c r="H139" i="3" s="1"/>
  <c r="H141" i="3"/>
  <c r="H142" i="3" s="1"/>
  <c r="N17" i="3"/>
  <c r="N16" i="3"/>
  <c r="E12" i="1"/>
  <c r="D12" i="1"/>
  <c r="C12" i="1"/>
  <c r="M16" i="3" l="1"/>
  <c r="R96" i="3"/>
  <c r="R97" i="3" s="1"/>
  <c r="I96" i="3"/>
  <c r="I97" i="3" s="1"/>
  <c r="T105" i="3"/>
  <c r="E29" i="2" s="1"/>
  <c r="O105" i="3"/>
  <c r="D29" i="2" s="1"/>
  <c r="O114" i="3"/>
  <c r="D35" i="2" s="1"/>
  <c r="O102" i="3"/>
  <c r="D27" i="2" s="1"/>
  <c r="T87" i="3"/>
  <c r="E17" i="2" s="1"/>
  <c r="T84" i="3"/>
  <c r="E15" i="2" s="1"/>
  <c r="T90" i="3"/>
  <c r="E19" i="2" s="1"/>
  <c r="T93" i="3"/>
  <c r="E21" i="2" s="1"/>
  <c r="T81" i="3"/>
  <c r="E13" i="2" s="1"/>
  <c r="O111" i="3"/>
  <c r="D33" i="2" s="1"/>
  <c r="O141" i="3"/>
  <c r="D59" i="2" s="1"/>
  <c r="T99" i="3"/>
  <c r="E25" i="2" s="1"/>
  <c r="E9" i="2"/>
  <c r="T78" i="3"/>
  <c r="E11" i="2" s="1"/>
  <c r="O135" i="3"/>
  <c r="D53" i="2" s="1"/>
  <c r="E27" i="2"/>
  <c r="O123" i="3"/>
  <c r="D41" i="2" s="1"/>
  <c r="O93" i="3"/>
  <c r="D21" i="2" s="1"/>
  <c r="O129" i="3"/>
  <c r="D47" i="2" s="1"/>
  <c r="O138" i="3"/>
  <c r="P135" i="3"/>
  <c r="P132" i="3"/>
  <c r="O132" i="3"/>
  <c r="D50" i="2" s="1"/>
  <c r="P138" i="3"/>
  <c r="P129" i="3"/>
  <c r="O108" i="3"/>
  <c r="D31" i="2" s="1"/>
  <c r="M17" i="3"/>
  <c r="O90" i="3"/>
  <c r="D19" i="2" s="1"/>
  <c r="O87" i="3"/>
  <c r="D17" i="2" s="1"/>
  <c r="O84" i="3"/>
  <c r="D15" i="2" s="1"/>
  <c r="L14" i="3"/>
  <c r="K14" i="3"/>
  <c r="H156" i="3"/>
  <c r="O78" i="3"/>
  <c r="D11" i="2" s="1"/>
  <c r="J156" i="3"/>
  <c r="K15" i="3"/>
  <c r="M15" i="3"/>
  <c r="D154" i="3"/>
  <c r="C25" i="1" s="1"/>
  <c r="O81" i="3"/>
  <c r="D13" i="2" s="1"/>
  <c r="I157" i="3"/>
  <c r="H158" i="3"/>
  <c r="J158" i="3"/>
  <c r="H155" i="3"/>
  <c r="I155" i="3"/>
  <c r="J157" i="3"/>
  <c r="L16" i="3"/>
  <c r="D9" i="2"/>
  <c r="L17" i="3"/>
  <c r="P141" i="3"/>
  <c r="K17" i="3"/>
  <c r="K16" i="3"/>
  <c r="O96" i="3" l="1"/>
  <c r="D23" i="2" s="1"/>
  <c r="T96" i="3"/>
  <c r="E23" i="2" s="1"/>
  <c r="F147" i="3"/>
  <c r="G147" i="3" s="1"/>
  <c r="O14" i="3"/>
  <c r="C18" i="1" s="1"/>
  <c r="F146" i="3"/>
  <c r="G146" i="3" s="1"/>
  <c r="F148" i="3"/>
  <c r="F145" i="3"/>
  <c r="D156" i="3"/>
  <c r="O15" i="3"/>
  <c r="O17" i="3"/>
  <c r="D157" i="3"/>
  <c r="D155" i="3"/>
  <c r="D158" i="3"/>
  <c r="O16" i="3"/>
  <c r="F149" i="3"/>
  <c r="G149" i="3" l="1"/>
  <c r="L149" i="3" s="1"/>
  <c r="O149" i="3" s="1"/>
  <c r="G148" i="3"/>
  <c r="K147" i="3"/>
  <c r="L147" i="3"/>
  <c r="J146" i="3"/>
  <c r="L146" i="3"/>
  <c r="J147" i="3"/>
  <c r="I147" i="3"/>
  <c r="I146" i="3"/>
  <c r="K146" i="3"/>
  <c r="G145" i="3"/>
  <c r="P149" i="3" l="1"/>
  <c r="K149" i="3"/>
  <c r="N149" i="3"/>
  <c r="P146" i="3"/>
  <c r="O146" i="3"/>
  <c r="N146" i="3"/>
  <c r="J145" i="3"/>
  <c r="L145" i="3"/>
  <c r="J148" i="3"/>
  <c r="L148" i="3"/>
  <c r="P147" i="3"/>
  <c r="O147" i="3"/>
  <c r="N147" i="3"/>
  <c r="M149" i="3"/>
  <c r="E60" i="2" s="1"/>
  <c r="H147" i="3"/>
  <c r="E53" i="2" s="1"/>
  <c r="I149" i="3"/>
  <c r="J149" i="3"/>
  <c r="I148" i="3"/>
  <c r="K148" i="3"/>
  <c r="I145" i="3"/>
  <c r="H146" i="3"/>
  <c r="E50" i="2" s="1"/>
  <c r="K145" i="3"/>
  <c r="C22" i="1"/>
  <c r="C17" i="1"/>
  <c r="C21" i="1"/>
  <c r="C26" i="1"/>
  <c r="C27" i="1"/>
  <c r="C29" i="1"/>
  <c r="C28" i="1"/>
  <c r="D56" i="2"/>
  <c r="P148" i="3" l="1"/>
  <c r="N148" i="3"/>
  <c r="O148" i="3"/>
  <c r="N145" i="3"/>
  <c r="P145" i="3"/>
  <c r="O145" i="3"/>
  <c r="M146" i="3"/>
  <c r="E51" i="2" s="1"/>
  <c r="M147" i="3"/>
  <c r="E54" i="2" s="1"/>
  <c r="H149" i="3"/>
  <c r="E59" i="2" s="1"/>
  <c r="H148" i="3"/>
  <c r="H145" i="3"/>
  <c r="E47" i="2" s="1"/>
  <c r="M148" i="3" l="1"/>
  <c r="E57" i="2" s="1"/>
  <c r="M145" i="3"/>
  <c r="E48" i="2" s="1"/>
  <c r="E5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Tatiana Abreu</author>
  </authors>
  <commentList>
    <comment ref="C154" authorId="0" shapeId="0" xr:uid="{3F2BCFDA-00FF-437E-9471-4E5B886807C4}">
      <text>
        <r>
          <rPr>
            <b/>
            <sz val="9"/>
            <color indexed="81"/>
            <rFont val="Segoe UI"/>
            <family val="2"/>
          </rPr>
          <t xml:space="preserve">Se não cumpriu os 2/3 dos crimes impeditivos, o reeducando não terá direito ao indulto ou à comutação.
</t>
        </r>
        <r>
          <rPr>
            <sz val="9"/>
            <color indexed="81"/>
            <rFont val="Segoe UI"/>
            <family val="2"/>
          </rPr>
          <t xml:space="preserve">
</t>
        </r>
      </text>
    </comment>
  </commentList>
</comments>
</file>

<file path=xl/sharedStrings.xml><?xml version="1.0" encoding="utf-8"?>
<sst xmlns="http://schemas.openxmlformats.org/spreadsheetml/2006/main" count="566" uniqueCount="317">
  <si>
    <t xml:space="preserve">                                                                                  QUESTIONÁRIO INDULTO E COMUTAÇÃO - DECRETO Nº 12.970/2025</t>
  </si>
  <si>
    <t>Planilha elaborada por Tatiana Abreu Miranda e Thiago Oliveira Miranda</t>
  </si>
  <si>
    <t>@gpsdapena</t>
  </si>
  <si>
    <t>https://gpsdapena.com.br/</t>
  </si>
  <si>
    <t>Sentenciado:</t>
  </si>
  <si>
    <t>Execução nº:</t>
  </si>
  <si>
    <t>Unidade Prisional:</t>
  </si>
  <si>
    <t>Penas Impostas</t>
  </si>
  <si>
    <t>Anos</t>
  </si>
  <si>
    <t xml:space="preserve">Meses </t>
  </si>
  <si>
    <t>Dias</t>
  </si>
  <si>
    <t>Total de penas de crimes IMPEDITIVOS em 25/12/2025</t>
  </si>
  <si>
    <t>Total de penas de crimes COM VIOLÊNCIA ou grave ameaça em 25/12/2025</t>
  </si>
  <si>
    <t>Total de penas de crimes SEM VIOLÊNCIA ou grave ameaça em 25/12/2025</t>
  </si>
  <si>
    <t>Total de penas impostas</t>
  </si>
  <si>
    <t>Pena Cumprida</t>
  </si>
  <si>
    <r>
      <t xml:space="preserve">Total de pena cumprida até 25/12/2025 </t>
    </r>
    <r>
      <rPr>
        <b/>
        <sz val="11"/>
        <color theme="1"/>
        <rFont val="Calibri"/>
        <family val="2"/>
      </rPr>
      <t>já considerada no Sistema</t>
    </r>
  </si>
  <si>
    <r>
      <t xml:space="preserve">Total de pena cumprida até 25/12/2025 </t>
    </r>
    <r>
      <rPr>
        <b/>
        <sz val="11"/>
        <color theme="1"/>
        <rFont val="Calibri"/>
        <family val="2"/>
      </rPr>
      <t>não lançada no Sistema</t>
    </r>
    <r>
      <rPr>
        <sz val="11"/>
        <color theme="1"/>
        <rFont val="Calibri"/>
        <family val="2"/>
      </rPr>
      <t xml:space="preserve"> (prisão cautelar, prisão domiciliar, prisão especial ou recolhimento domiciliar noturno, com ou sem monitoramento eletrônico)</t>
    </r>
  </si>
  <si>
    <t>Pena cumprida dos crimes IMPEDITIVOS até 25/12/2025</t>
  </si>
  <si>
    <t>Pena cumprida nos crimes não impeditivos até 25/12/2025</t>
  </si>
  <si>
    <t>Pena Remanescente</t>
  </si>
  <si>
    <t>Total de pena remanescente total (impeditivo e não impeditivo) em 25/12/2025</t>
  </si>
  <si>
    <t>Total de pena remanescente dos crimes não impeditivos em 25/12/2025</t>
  </si>
  <si>
    <t>Frações</t>
  </si>
  <si>
    <t>2/3 dos crimes IMPEDITIVOS</t>
  </si>
  <si>
    <t>1/5 dos crimes não impeditivos</t>
  </si>
  <si>
    <t>1/4 dos crimes não impeditivos</t>
  </si>
  <si>
    <t>1/3 dos crimes não impeditivos</t>
  </si>
  <si>
    <t>1/2 dos crimes não impeditivos</t>
  </si>
  <si>
    <t>Sexo:</t>
  </si>
  <si>
    <t>MASCULINO</t>
  </si>
  <si>
    <t>Data de nascimento:</t>
  </si>
  <si>
    <t>Reincidente em 25/12/2025?</t>
  </si>
  <si>
    <t>NÃO</t>
  </si>
  <si>
    <t>Regime prisional em 25/12/2025:</t>
  </si>
  <si>
    <t>FECHADO</t>
  </si>
  <si>
    <t>Se estava no regime semiaberto em 25/12/2025, quanto tempo de pena cumprido ininterruptamente nesse regime? (somar remição concedida no período)</t>
  </si>
  <si>
    <t>0</t>
  </si>
  <si>
    <t>Se estava no regime aberto em 25/12/2025, quanto tempo de pena cumprido no regime semiaberto e aberto somados? (somar remição concedida no período)</t>
  </si>
  <si>
    <t>Sentenciado em livramento condicional em 25/12/2025?</t>
  </si>
  <si>
    <t>Estava em 25/12/2025 em monitoramento eletrônico, cuja liberação tenha ocorrido com fundamento na Súmula Vinculante nº 56 do STF (falta de vaga em estabelecimento penal adequado)? Se sim, há quanto tempo?</t>
  </si>
  <si>
    <t>Estava em 25/12/2025 inserida como pré-egressas ou egressas em programa de acompanhamento compatível com a Política de Atenção a Pessoas Egressas do Sistema Prisional? Se sim, há quanto tempo?</t>
  </si>
  <si>
    <t>É pessoa que tenha se submetido, no curso da execução da pena, a programas de justiça restaurativa reconhecidos pelo Poder Judiciário ou por órgãos do Poder Executivo com atribuição em matéria penitenciária, mediante atestado de conclusão do procedimento e resolução satisfatória do conflito firmada por responsável pelo programa, em conformidade com o disposto na Resolução nº 225, de 31 de maio de 2016, do Conselho Nacional de Justiça?</t>
  </si>
  <si>
    <t>Data da última prisão:</t>
  </si>
  <si>
    <t>Período em liberdade supera dois anos? (analisar todos os períodos em que houver interrupção no cumprimento de pena)</t>
  </si>
  <si>
    <t>Falta grave cometida entre 25/12/2024 à 25/12/2025?</t>
  </si>
  <si>
    <t>Falta grave cometida durante toda execução de pena?</t>
  </si>
  <si>
    <t>Total de dias de remição após a data da última prisão:</t>
  </si>
  <si>
    <t>Sentenciado firmou acordo de colaboração premiada?</t>
  </si>
  <si>
    <t>Integra ou integrou facção criminosa?</t>
  </si>
  <si>
    <t>Estava em Regime Disciplinar Diferenciado (RDD) em 25/12/2025?</t>
  </si>
  <si>
    <t>Estava em presídio federal ou em unidade de segurança máxima em 25/12/2025?</t>
  </si>
  <si>
    <t>É pessoa com deficiência (aquela que tem impedimento de longo prazo de natureza física, mental, intelectual ou sensorial, o qual, em interação com uma ou mais barreiras, pode obstruir sua participação plena e efetiva na sociedade em igualdade de condições com as demais pessoas)?</t>
  </si>
  <si>
    <t>Sentenciado com paraplegia, tetraplegia, monoplegia, hemiplegia, ostomia, amputação, paralisia, cegueira ou outra deficiência física que acarrete comprometimento análogo, desde que essas condições não sejam anteriores à prática do crime; infectadas pelo vírus HIV, em estágio terminal; gestantes, cuja gravidez seja considerada de alto risco; acometidas de doença grave, crônica ou altamente contagiosa, que apresentem grave limitação ambulatorial ou severa restrição para participação regular nas atividades oferecidas pela unidade prisional ou, ainda, que exijam cuidados contínuos que não possam ser adequadamente prestados no estabelecimento; ou com transtorno do espectro autista severo (grau 3) ou neurodiversas em condição análoga?</t>
  </si>
  <si>
    <t>É mulher gestante?</t>
  </si>
  <si>
    <t>É mulher e tem filho ou filha com até 16 anos de idade?</t>
  </si>
  <si>
    <t>É mulher e tem filho ou filha com deficiência?</t>
  </si>
  <si>
    <t>No caso de ter filho ou filha com deficiência, ele(a) necessita dos cuidados da mãe?</t>
  </si>
  <si>
    <t>É mulher e tem filho ou filha com doença crônica grave?</t>
  </si>
  <si>
    <t>No caso de ter filho ou filha com doença crônica grave, ele(a) necessita dos cuidados da mãe?</t>
  </si>
  <si>
    <t>É homem e o único responsável pelos cuidados de filho ou filha menor de 16 anos de idade ou com doença crônica grave ou deficiência?</t>
  </si>
  <si>
    <t>É pessoa imprescindível aos cuidados de criança de até 12 anos de idade ou com doença grave ou deficiência?</t>
  </si>
  <si>
    <t>É avó que possuam netos de até 16 anos de idade ou de qualquer idade, se pessoa com deficiência, nos termos do disposto no art. 2º da Lei nº 13.146, de 6 de julho de 2015, que comprovadamente necessite de seus cuidados e esteja sob sua responsabilidade?</t>
  </si>
  <si>
    <t xml:space="preserve">Sentenciado obteve 05 saídas temporárias ou trabalhou externamente por, no mínimo, doze meses nos três anos anteriores, contados retroativamente a 25/12/2025? </t>
  </si>
  <si>
    <t>Frequentou, ou estava frequentando, curso de ensino fundamental, médio, superior, profissionalizante ou de requalificação profissional em 25/12/2025?</t>
  </si>
  <si>
    <t>Concluiu, durante a execução da pena, curso de ensino fundamental, médio, superior ou profissionalizante, certificado por autoridade educacional local, nos três anos anteriores a 25/12/2025?</t>
  </si>
  <si>
    <t>O crime praticado com violência ou grave ameaça foi contra filho, filha, criança ou adolescente?</t>
  </si>
  <si>
    <t>Em 25/12/2025 estava respondendo ou foi condenado pela prática de outro crime cometido mediante violência ou grave ameaça a pessoa?</t>
  </si>
  <si>
    <t>Todas as penas foram substituídas por restritiva de direito ou beneficiadas com a suspensão condicional da pena?</t>
  </si>
  <si>
    <t>Todas as condenações foram em regime aberto?</t>
  </si>
  <si>
    <t>Tem crime contra o patrimônio cometido sem violência ou grave ameaça?</t>
  </si>
  <si>
    <t>Reparou o dano até 25/12/2025 ou não há necessidade de reparação?</t>
  </si>
  <si>
    <t>Valor do bem estimado do crime contra o patrimônio não é superior a um salário-mínimo à época do fato?</t>
  </si>
  <si>
    <r>
      <t>O condenado cumpriu 2/3 do crime impeditivo até o dia 25/12/2025, contando a partir da data do crime?</t>
    </r>
    <r>
      <rPr>
        <sz val="11"/>
        <color rgb="FFFF0000"/>
        <rFont val="Calibri"/>
        <family val="2"/>
      </rPr>
      <t xml:space="preserve"> (Cuidado! Ao selecionar "NÃO", a Calculadora bloqueará tanto o Indulto quanto a Comutação.)</t>
    </r>
  </si>
  <si>
    <t>SIM</t>
  </si>
  <si>
    <r>
      <t xml:space="preserve">O condenado cumpriu a fração indicada no inciso referente ao crime cometido com violência ou grave ameaça a partir da data do delito? </t>
    </r>
    <r>
      <rPr>
        <sz val="11"/>
        <color rgb="FFFF0000"/>
        <rFont val="Calibri"/>
        <family val="2"/>
      </rPr>
      <t>(Cuidado! Ao selecionar "NÃO", a Calculadora bloqueará tanto o Indulto quanto a Comutação.)</t>
    </r>
  </si>
  <si>
    <t>Valor da pena de multa (exceto dos crimes impeditivos)</t>
  </si>
  <si>
    <t>Sentenciado hipossuficiente nos termos do Art. 12, §2º?</t>
  </si>
  <si>
    <t>Tem comutação de Decretos anteriores?</t>
  </si>
  <si>
    <t>Observações</t>
  </si>
  <si>
    <t>PLANILHA DE CÁLCULO PARA INDULTO E COMUTAÇÃO CONFORME O DECRETO Nº 12.970/2025</t>
  </si>
  <si>
    <t>2/3 da pena</t>
  </si>
  <si>
    <t>1/4 da pena</t>
  </si>
  <si>
    <t>1/3 da pena</t>
  </si>
  <si>
    <t>1/5 da pena</t>
  </si>
  <si>
    <t>1/2 da pena</t>
  </si>
  <si>
    <t>1/8 da pena</t>
  </si>
  <si>
    <t>1/6 da pena</t>
  </si>
  <si>
    <t>Total de Dias</t>
  </si>
  <si>
    <t>TOTAL DE PENAS DE CRIME IMPEDITIVO EM 25/12/2025</t>
  </si>
  <si>
    <t>TOTAL DE PENAS DE CRIME COM VIOLÊNCIA OU GRAVE AMEAÇA EM 25/12/2025</t>
  </si>
  <si>
    <t>TOTAL DE PENAS DE CRIME SEM VIOLÊNCIA OU GRAVE AMEAÇA EM 25/12/2025</t>
  </si>
  <si>
    <t>TOTAL DE PENAS IMPOSTAS</t>
  </si>
  <si>
    <t>Total pena SEEU</t>
  </si>
  <si>
    <t>Total de pena não lançada no SEEU</t>
  </si>
  <si>
    <t>TOTAL DE PENA CUMPRIDA ATÉ 25/12/2025</t>
  </si>
  <si>
    <t>PENA CUMPRIDA DESCONTANDO OS 2/3 HEDIONDO</t>
  </si>
  <si>
    <t>Pena cumprida dos crimes IMPEDITIVOS</t>
  </si>
  <si>
    <t>PENA REMANESCENTE</t>
  </si>
  <si>
    <t>PENA REMANESCENTE DESCONTANDO O HEDIONDO</t>
  </si>
  <si>
    <t>O CONDENADO CUMPRIU 2/3 DA PENA ATÉ 25/12/2025 A PARTIR DA DATA DO CRIME IMPEDITIVO?</t>
  </si>
  <si>
    <t>REINCIDENTE?</t>
  </si>
  <si>
    <t>INTEGRA OU INTEGROU FACÇÃO CRIMINOSA?</t>
  </si>
  <si>
    <t>ESTAVA EM RDD EM 25/12/2025?</t>
  </si>
  <si>
    <t>ESTAVA EM PRESÍDIO FEDERAL EM 25/12/2025?</t>
  </si>
  <si>
    <t>QUANTIDADE DE REMIÇÃO APÓS A DATA DA ÚLTIMA PRISÃO EM DIAS</t>
  </si>
  <si>
    <t>SEXO:</t>
  </si>
  <si>
    <t>No caso de ter filho ou filha com doença crônica grave, ele necessita dos cuidados da mãe?</t>
  </si>
  <si>
    <t>É mulher gestante ou que tem filho ou filha com até dezesseis anos de idade ou com doença crônica grave ou deficiência?</t>
  </si>
  <si>
    <t>É mulher e possui filhos de até 16 anos de idade ou de qualquer idade, se pessoa com deficiência que comprovadamente necessite de seus cuidados?</t>
  </si>
  <si>
    <t>É mulher e possui filho menor de 16 anos de idade ou de qualquer idade, se pessoa com deficiência ou com doença crônica grave que necessite de seus cuidados?</t>
  </si>
  <si>
    <t>É homem e o único responsável pelos cuidados de filho ou filha menor de dezesseis anos de idade ou com doença crônica grave ou deficiência?</t>
  </si>
  <si>
    <t>Pessoa imprescindível aos cuidados de criança de até doze anos de idade ou com doença grave ou deficiência?</t>
  </si>
  <si>
    <t>É avó que possuam netos de até doze anos de idade ou de qualquer idade, se pessoa com deficiência, nos termos do disposto no art. 2º da Lei nº 13.146, de 6 de julho de 2015, que comprovadamente necessite de seus cuidados e esteja sob sua responsabilidade?</t>
  </si>
  <si>
    <t>Pessoas com deficiência (aquela que tem impedimento de longo prazo de natureza física, mental, intelectual ou sensorial, o qual, em interação com uma ou mais barreiras, pode obstruir sua participação plena e efetiva na sociedade em igualdade de condições com as demais pessoas)</t>
  </si>
  <si>
    <t>pessoas que tenham se submetido, no curso da execução da pena, a programas de justiça restaurativa reconhecidos pelo Poder Judiciário ou por órgãos do Poder Executivo com atribuição em matéria penitenciária, mediante atestado de conclusão do procedimento e resolução satisfatória do conflito firmada por responsável pelo programa, em conformidade com o disposto na Resolução nº 225, de 31 de maio de 2016, do Conselho Nacional de Justiça.</t>
  </si>
  <si>
    <t>crime praticado com violência ou grave ameaça contra filho, filha, criança ou adolescente</t>
  </si>
  <si>
    <t>Período em liberdade supera dois anos (analisar todos os períodos em que houver interrupção no cumprimento de pena);</t>
  </si>
  <si>
    <t>DATA DA ÚLTIMA PRISÃO:</t>
  </si>
  <si>
    <t>FALTA GRAVE COMETIDA ENTRE 25/12/2024 À 25/12/2024?</t>
  </si>
  <si>
    <t>DATA DE NASCIMENTO:</t>
  </si>
  <si>
    <t>REPAROU O DANO ATÉ 25 DE DEZEMBRO DE 2025 OU NÃO TEVE DANO 
 OU HÁ INCAPACIDADE ECONÔMICA DE REPARÁ-LO?</t>
  </si>
  <si>
    <t>VALOR DO BEM ESTIMADO NÃO É SUPERIOR A UM SALÁRIO-MÍNIMO?</t>
  </si>
  <si>
    <t>VALOR DA PENA DE MULTA (EXECTO DOS CRIMES IMPEDITIVOS)</t>
  </si>
  <si>
    <t>SENTENCIADO HIPOSSUFICIENTE?</t>
  </si>
  <si>
    <t>SENTENCIADO TEVE 5 SAÍDAS TEMPORÁRIAS ou TRABALHO EXTERNO</t>
  </si>
  <si>
    <t>REGIME PRISIONAL EM 25/12/2025:</t>
  </si>
  <si>
    <t>ATÉ 06 MESES</t>
  </si>
  <si>
    <t>SENTENCIADO EM LIVRAMENTO CONDICIONAL EM 25/12/2025?</t>
  </si>
  <si>
    <t>DE 06 HÁ 12 MESES</t>
  </si>
  <si>
    <t>TEM ALGUMA PENA SUBSTITUÍDA POR RESTRITIVA DE DIREITO?</t>
  </si>
  <si>
    <t>ACIMA DE 12 MESES</t>
  </si>
  <si>
    <t>TEM CONDENAÇÃO EM REGIME ABERTO?</t>
  </si>
  <si>
    <t>Estava em 25/12/2025 inserida como pré-egressas ou egressas em programa de acompanhamento compatível com a Política de Atenção a Pessoas Egressas do Sistema Prisional há quanto tempo?</t>
  </si>
  <si>
    <t>Após a calculadora indicar o indulto para os crimes sem violência ou grave ameaça (I a IX, XI, XV e XI, o reeducando cumpriu a fração correspondente ao crime cometido com violência ou grave ameaça a partir da data do delito?</t>
  </si>
  <si>
    <t>REGRAS ESPECÍFICAS</t>
  </si>
  <si>
    <t>"I19, I 20, I21 E I36 TEM QUE ESTAR NÃO (FALTA GRAVE, RDD, FACÇÃO E PRESIDIO FEDERAL, ACORDO COLABORAÇÃO</t>
  </si>
  <si>
    <t>C10 (TOTAL DE PENAS)TEM QUE SER MENOR OU IGUAL A 8 ANOS</t>
  </si>
  <si>
    <t>I16 (CUMPRIU IMPEDITIVO DATA FATO)TEM QUE ESTAR SIM OU NÃO SE APLICA</t>
  </si>
  <si>
    <t xml:space="preserve"> TEM QUE TER CUMPRIDO 2/3 SE TIVER PENA  NA L6 (CRIME HEDIONDO)</t>
  </si>
  <si>
    <t xml:space="preserve"> SE O I18 (REINCIDENTE) ESTIVER NÃO TEM QUE CUMPRIR 1/5 DA PENA TOTAL DA L8 + L7 + 2/3 DO HEDIONDO SE A I18 ESTIVER SIM TEM QUE CUMPRIR 1/3 DA PENA TOTAL DA L8 + L7 + 2/3 DO HEDIONDO</t>
  </si>
  <si>
    <t>I8 TEM QUE ESTAR PREENCHIDO</t>
  </si>
  <si>
    <t>CUMPRIU FRAÇÃO CRIME COM VIOLÊNCIA A PARTIR DA DATA DO DELITO</t>
  </si>
  <si>
    <t>IDADE MAIOR QUE 60 ANOS OU DEFICIÊNCIA OU MULHER COM FILHO OU HOMEM COM FILHO OU PESSOAS IMPRESCINDÍVEIS OU PROGRAMA JUSTIÇA RESTAURATIVA</t>
  </si>
  <si>
    <t>CRIME NÃO PRATICADO CONTRA FILHO, CRIANÇA OU ADOLESCENTE</t>
  </si>
  <si>
    <t>REDUÇÃO DO PRAZO 1/2</t>
  </si>
  <si>
    <t>I - a pena privativa de liberdade não superior a oito anos, por crime praticado sem violência ou grave ameaça a pessoa, que tenham cumprido, até 25 de dezembro de 2025, um quinto da pena, se não reincidentes, ou um terço da pena, se reincidentes;</t>
  </si>
  <si>
    <t>L9 TEM QUE MENOR OU IGUAL A 12 ANOS</t>
  </si>
  <si>
    <t xml:space="preserve"> SE O L18 (REINCIDENTE) ESTIVER NÃO TEM QUE CUMPRIR 1/3 DA PENA TOTAL DA L8 + L7 + 2/3 DO HEDIONDO SE A L18 ESTIVER SIM TEM QUE CUMPRIR 1/2 DA PENA TOTAL DA L8 + L7+ 2/3 DO HEDIONDO</t>
  </si>
  <si>
    <t>L8 (CRIME SEM VIOLÊNCIA) TEM QUE ESTAR PREENCHIDO</t>
  </si>
  <si>
    <t>II - a pena privativa de liberdade não superior a doze anos, por crime praticado sem violência ou grave ameaça a pessoa, que tenham cumprido, até 25 de dezembro de 2025, um terço da pena, se não reincidentes, ou metade da pena, se reincidentes;</t>
  </si>
  <si>
    <t>L9 TEM QUE MENOR OU IGUAL A 04 ANOS</t>
  </si>
  <si>
    <t>L7 (CRIME COM VIOLÊNCIA) TEM QUE ESTAR PREENCHIDO</t>
  </si>
  <si>
    <t>REDUÇÃO DO PRAZO 1/2 -  SE O L18 (REINCIDENTE) ESTIVER NÃO TEM QUE CUMPRIR 1/3 DA PENA TOTAL DA L8 + L7 + 2/3 DO HEDIONDO SE A L18 ESTIVER SIM TEM QUE CUMPRIR 1/2 DA PENA TOTAL DA L8 + L7+ 2/3 DO HEDIONDO</t>
  </si>
  <si>
    <t>III - a pena privativa de liberdade não superior a quatro anos, por crime praticado com violência ou grave ameaça a pessoa, que tenham cumprido, até 25 de dezembro de 2025, um terço da pena, se não reincidentes, ou metade da pena, se reincidentes;</t>
  </si>
  <si>
    <t>J34 (PENA ININTERRUPTA) TEM QUE SER MAIOR OU IGUAL A 15 ANOS SE O I18 (REINCIDÊNCIA) ESTIVER NÃO + SOMADA COM A REMIÇÃO</t>
  </si>
  <si>
    <t>L8 (CRIME SEM VIOLÊNCIA E COM VIOLÊNCIA) TEM QUE ESTAR PREENCHIDO</t>
  </si>
  <si>
    <t>SE FOR PRIMÁRIO A PENA CUMPRIDA TOTAL TEM QUE SER MAIOR QUE 2/3 HEDIONDO + 15 ANOS, SE FOR REINCIDENTE 2/3 HEDIONDO MAIS 20 ANOS</t>
  </si>
  <si>
    <t>REDUÇÃO DO PRAZO 1/2 - J34 (PENA ININTERRUPTA) TEM QUE SER MAIOR OU IGUAL A 15 ANOS SE O I18 (REINCIDÊNCIA) ESTIVER NÃO + SOMADA COM A REMIÇÃO</t>
  </si>
  <si>
    <t>REDUÇÃO DO PRAZO 1/2 - SE FOR PRIMÁRIO A PENA CUMPRIDA TOTAL TEM QUE SER MAIOR QUE 2/3 HEDIONDO + 15 ANOS, SE FOR REINCIDENTE 2/3 HEDIONDO MAIS 20 ANOS</t>
  </si>
  <si>
    <t>IV - a pena privativa de liberdade que, até 25 de dezembro de 2025, tenham cumprido, ininterruptamente, quinze anos da pena, se não reincidentes, ou vinte anos da pena, se reincidentes;</t>
  </si>
  <si>
    <t>PENA TOTAL CUMPRIDA TEM QUE SER MAIOR DE 20 ANOS PARA PRIMÁRIO OU 25 PARA REINCIDENTE</t>
  </si>
  <si>
    <t>SE FOR PRIMÁRIO A PENA CUMPRIDA TOTAL TEM QUE SER MAIOR QUE 2/3 HEDIONDO + 20 ANOS, SE FOR REINCIDENTE 2/3 HEDIONDO MAIS 25 ANOS</t>
  </si>
  <si>
    <t>PERÍODO EM LIBERDADE NÃO SUPERE 2 ANOS</t>
  </si>
  <si>
    <t>REDUÇÃO DO PRAZO 1/2 - PENA TOTAL CUMPRIDA TEM QUE SER MAIOR DE 20 ANOS PARA PRIMÁRIO OU 25 PARA REINCIDENTE</t>
  </si>
  <si>
    <t>REDUÇÃO DO PRAZO 1/2 - SE FOR PRIMÁRIO A PENA CUMPRIDA TOTAL TEM QUE SER MAIOR QUE 2/3 HEDIONDO + 20 ANOS, SE FOR REINCIDENTE 2/3 HEDIONDO MAIS 25 ANOS</t>
  </si>
  <si>
    <t>V - a pena privativa de liberdade que, até 25 de dezembro de 2025, tenham cumprido, não ininterruptamente, vinte anos da pena, se não reincidentes, ou vinte e cinco anos da pena, se reincidentes, desde que o período em liberdade não supere dois anos;</t>
  </si>
  <si>
    <t>PENA TOTAL CUMPRIDA NO SEMIABERTO TEM SER MAIOR DE 10 ANOS PARA PRIMÁRIO OU 15 PARA REINCIDENTE</t>
  </si>
  <si>
    <t>SE FOR PRIMÁRIO A PENA CUMPRIDA TOTAL TEM QUE SER MAIOR QUE 2/3 HEDIONDO + 10 ANOS, SE FOR REINCIDENTE 2/3 HEDIONDO MAIS 15 ANOS</t>
  </si>
  <si>
    <t>TEM QUE SER REGIME SEMIABERTO</t>
  </si>
  <si>
    <t>REDUÇÃO DO PRAZO 1/2 - PENA TOTAL CUMPRIDA NO SEMIABERTO TEM SER MAIOR DE 10 ANOS PARA PRIMÁRIO OU 15 PARA REINCIDENTE</t>
  </si>
  <si>
    <t>REDUÇÃO DO PRAZO 1/2 - SE FOR PRIMÁRIO A PENA CUMPRIDA TOTAL TEM QUE SER MAIOR QUE 2/3 HEDIONDO + 10 ANOS, SE FOR REINCIDENTE 2/3 HEDIONDO MAIS 15 ANOS</t>
  </si>
  <si>
    <t>VI - a pena privativa de liberdade que, até 25 de dezembro de 2025, tenham cumprido em regime semiaberto, ininterruptamente, dez anos da pena, se não reincidentes, ou quinze anos da pena, se reincidentes;</t>
  </si>
  <si>
    <t>I52 (PENA SUBSTITUÍDA OU SUSPENSÃO DA PENA CONDENADA EM ABERTO) TEM QUE ESTAR SIM</t>
  </si>
  <si>
    <t xml:space="preserve"> SE O I18 (REINCIDENTE) ESTIVER NÃO TEM QUE CUMPRIR 1/6 DA PENA TOTAL DA L7 E L8 + 2/3 DO HEDIONDO OU SE A I18 ESTIVER SIM TEM QUE CUMPRIR 1/5 DA PENA TOTAL DA L7 E L8 + 2/3 DO HEDIONDO</t>
  </si>
  <si>
    <t>L8 (CRIME SEM VIOLÊNCIA) TEM QUE ESTAR PREENCHIDO L7 (CRIME COM VIOLÊNCIA) TEM QUE ESTAR PREENCHIDO</t>
  </si>
  <si>
    <t>REDUÇÃO DO PRAZO 1/2 -  SE O I18 (REINCIDENTE) ESTIVER NÃO TEM QUE CUMPRIR 1/6 DA PENA TOTAL DA L7 E L8 + 2/3 DO HEDIONDO OU SE A I18 ESTIVER SIM TEM QUE CUMPRIR 1/5 DA PENA TOTAL DA L7 E L8 + 2/3 DO HEDIONDO</t>
  </si>
  <si>
    <t>VII - a pena privativa de liberdade sob o regime aberto ou substituída por pena restritiva de direitos, na forma prevista no art. 44 do Decreto-Lei nº 2.848, de 7 de dezembro de 1940 – Código Penal, ou beneficiadas com a suspensão condicional da pena, que tenham cumprido, até 25 de dezembro de 2025, um sexto da pena, se não reincidentes, ou um quinto da pena, se reincidentes;</t>
  </si>
  <si>
    <t>I49 (REGIME) TEM QUE ESTAR ABERTO OU O I50 (LIVRAMENTO) TEM QUE ESTAR SIM</t>
  </si>
  <si>
    <t xml:space="preserve"> SE O I18 (REINCIDENTE) ESTIVER NÃO A DIFERENÇA ENTRE A L9 (PENA TOTAL) E A L11 (PENA CUMPRIDA) TEM QUE SER MENOR QUE 6 ANOS -  SE O I18 (REINCIDENTE) ESTIVER SIM A DIFERENÇA ENTRE A L9 (PENA TOTAL) E A L11 (PENA CUMPRIDA) TEM QUE SER MENOR QUE 4 ANOS</t>
  </si>
  <si>
    <t>REDUÇÃO DO PRAZO 1/2 -  SE O I18 (REINCIDENTE) ESTIVER NÃO A DIFERENÇA ENTRE A L9 (PENA TOTAL) E A L11 (PENA CUMPRIDA) TEM QUE SER MENOR QUE 6 ANOS -  SE O I18 (REINCIDENTE) ESTIVER SIM A DIFERENÇA ENTRE A L9 (PENA TOTAL) E A L11 (PENA CUMPRIDA) TEM QUE SER MENOR QUE 4 ANOS</t>
  </si>
  <si>
    <t>VIII - a pena privativa de liberdade que estejam em livramento condicional ou cumprindo pena em regime aberto, cujo período da pena remanescente, em 25 de dezembro de 2025, não seja superior a seis anos, se não reincidentes, ou quatro anos, se reincidentes;</t>
  </si>
  <si>
    <t>I52 (PENA SUBSTITUÍDA OU SUSPENSÃO DA PENA CONDENADA EM ABERTO) TEM QUE ESTAR SIM OU EM LIVRAMENTO CONDICIONAL</t>
  </si>
  <si>
    <t>TEM QUE SER EGRESSA A MAIS DE 02 ANOS</t>
  </si>
  <si>
    <t>REDUÇÃO DO PRAZO 1/2 -  TEM QUE SER EGRESSA A MAIS DE 02 ANOS</t>
  </si>
  <si>
    <t>IX - a pena privativa de liberdade sob regime aberto ou substituída por pena restritiva de direitos, ou em cumprimento de livramento condicional ou em suspensão condicional da pena que, até 25 de dezembro de 2025, estejam inseridas como pré-egressas ou egressas em programa de acompanhamento compatível com a Política de Atenção a Pessoas Egressas do Sistema Prisional, instituída pela Resolução nº 307, de 17 de dezembro de 2019, do Conselho Nacional de Justiça, por, no mínimo, dois anos, atendidas por meio de patronatos, escritórios sociais, centrais de alternativas penais ou órgãos congêneres, e que obtenham parecer favorável de aproveitamento do responsável local pelo programa de atendimento;</t>
  </si>
  <si>
    <t>MONITORAÇÃO HÁ MAIS DE 03 ANOS</t>
  </si>
  <si>
    <t>REDUÇÃO DO PRAZO 1/2 -  TEM QUE ESTAR EM MONITORAÇÃO ELETRÔNICA</t>
  </si>
  <si>
    <t>X - a pena privativa de liberdade que, até 25 de dezembro de 2025, em regime semiaberto mediante monitoramento eletrônico, na forma prevista na Resolução nº 412, de 23 de agosto de 2021, do Conselho Nacional de Justiça, cuja liberação tenha ocorrido com fundamento na Súmula Vinculante nº 56 do Supremo Tribunal Federal, e que se encontrem nessa condição há mais de três anos;</t>
  </si>
  <si>
    <t>L9 TEM QUE SER MENOR OU IGUAL A 12 ANOS</t>
  </si>
  <si>
    <t>I48 (SAÍDAS E TRABALHO) TEM QUE ESTAR SIM</t>
  </si>
  <si>
    <t xml:space="preserve"> SE O I18 (REINCIDENTE) ESTIVER NÃO TEM QUE CUMPRIR 1/3 DA PENA TOTAL DA L8 + L7 + 2/3 DO HEDIONDO E SE A I18 ESTIVER SIM TEM QUE CUMPRIR 1/2 DA PENA TOTAL DA L8 + L7 + 2/3 DO HEDIONDO</t>
  </si>
  <si>
    <t>I49 (REGIME) TEM QUE ESTAR SEMIABERTO OU ABERTO</t>
  </si>
  <si>
    <t>PENA CUMPRIDA NO REGIME SEMIABERTO E ABERTO TEM QUE SER MAIOR QUE 1/3 PARA PRIMÁRIO E 1/2 PARA REINCIDENTE</t>
  </si>
  <si>
    <t>REDUÇÃO DO PRAZO 1/2 -  SE O I18 (REINCIDENTE) ESTIVER NÃO TEM QUE CUMPRIR 1/3 DA PENA TOTAL DA L8 + L7 + 2/3 DO HEDIONDO E SE A I18 ESTIVER SIM TEM QUE CUMPRIR 1/2 DA PENA TOTAL DA L8 + L7 + 2/3 DO HEDIONDO</t>
  </si>
  <si>
    <t>XI - a pena privativa de liberdade não superior a doze anos, desde que já tenham cumprido um terço da pena, se não reincidentes, ou metade da pena, se reincidentes, em regime semiaberto ou aberto, e que tenham usufruído, até 25 de dezembro de 2025, de, no mínimo, cinco saídas temporárias previstas no art. 122, combinado com o art. 124, caput, da Lei nº 7.210, de 11 de julho de 1984, ou que tenham exercido trabalho externo por, no mínimo, doze meses nos três anos anteriores, contados retroativamente a 25 de dezembro de 2025;</t>
  </si>
  <si>
    <t>ESTUDO PARA PRIMÁRIO TEM QUE SER DE 12 MESES E PARA REINCIDENTE 18 MESES</t>
  </si>
  <si>
    <t xml:space="preserve"> SE O I18 (REINCIDENTE) ESTIVER NÃO TEM QUE CUMPRIR 1/5 DA PENA TOTAL DA L8 + L7 + 2/3 DO HEDIONDO E SE A I18 ESTIVER SIM TEM QUE CUMPRIR 1/4 DA PENA TOTAL DA L8 + L7 + 2/3 DO HEDIONDO</t>
  </si>
  <si>
    <t>XII - a pena privativa de liberdade não superior a doze anos, desde que já tenham cumprido um quinto da pena, se não reincidentes, ou um quarto da pena, se reincidentes, e que tenham frequentado, ou estejam frequentando, curso de ensino fundamental, médio, superior, profissionalizante ou de requalificação profissional, na forma prevista no art. 126, caput, da Lei nº 7.210, de 11 de julho de 1984, por, no mínimo, doze meses, nos três anos anteriores, se não reincidentes, ou dezoito meses, nos cinco anos anteriores, se reincidentes, contados retroativamente a 25 de dezembro de 2024;</t>
  </si>
  <si>
    <t>XII - à pena privativa de liberdade não superior a doze anos, desde que já tenham cumprido um sexto da pena, se não reincidentes, ou um quinto da pena, se reincidentes, e que tenham frequentado, ou estejam frequentando, curso de ensino fundamental, médio, superior, profissionalizante ou de requalificação profissional, na forma prevista no art. 126 da Lei nº 7.210, de 11 de julho de 1984, por, no mínimo, doze meses, nos três anos anteriores, se não reincidentes, ou dezoito meses, nos cinco anos anteriores, se reincidentes, contados retroativamente a 25 de dezembro de 2025;</t>
  </si>
  <si>
    <t>CONCLUSÃO DO CURSO TEM QUE ESTAR SIM</t>
  </si>
  <si>
    <t>XIII - a pena privativa de liberdade não superior a doze anos, desde que já tenham cumprido um quinto da pena, se não reincidentes, ou um quarto da pena, se reincidentes, e tenham concluído, durante a execução da pena, curso de ensino fundamental, médio, superior ou profissionalizante, certificado por autoridade educacional local, na forma prevista no art. 126 da Lei nº 7.210, de 11 de julho de 1984, nos três anos anteriores, contados retroativamente a 25 de dezembro de 2025;</t>
  </si>
  <si>
    <t>I41 (CRIME CONTRA O PATRIMÔNIO TEM QUE ESTAR SIM</t>
  </si>
  <si>
    <t>I43 (VALOR DO BEM) TEM QUE ESTAR SIM</t>
  </si>
  <si>
    <t>L11 - PENA CUMPRIDA TEM QUE SER MAIOR QUE 3 MESES DE PENA CUMPRIDA + 2/3 hediondo</t>
  </si>
  <si>
    <t>XIV - a pena privativa de liberdade por crime contra o patrimônio, cometido sem violência ou grave ameaça a pessoa, com valor do bem estimado não superior a um salário mínimo à época do fato, desde que tenham cumprido, até 25 de dezembro de 2025, três meses da pena privativa de liberdade;</t>
  </si>
  <si>
    <t>I42 (REPARADO O DANO) TEM QUE ESTAR SIM OU SER HIPOSSUFICIENTE</t>
  </si>
  <si>
    <t xml:space="preserve">XV - a pena privativa de liberdade por crime contra o patrimônio, cometido sem violência ou grave ameaça a pessoa que, até 25 de dezembro de 2025, tenham reparado o dano conforme o disposto no art. 16 ou no art. 65, caput, inciso III, alínea “b”, do Decreto-Lei nº 2.848, de 7 de dezembro de 1940 – Código Penal, excetuada a necessidade de reparação do dano nas hipóteses previstas no art. 12, § 2º, deste Decreto; </t>
  </si>
  <si>
    <t>I23 (DEFICIÊNCIA) TEM QUE ESTAR SIM</t>
  </si>
  <si>
    <t>XVI - a pena privativa de liberdade:
a) com paraplegia, tetraplegia, monoplegia, hemiplegia, ostomia, amputação, paralisia, cegueira ou outra deficiência física que acarrete comprometimento análogo, comprovadas por laudo emitido por médico oficial, por médico designado pelo juiz da execução ou, na falta destes, por médico autorizado pelo juiz da execução, desde que essas condições não sejam anteriores à prática do crime;
b) infectadas pelo vírus HIV, em estágio terminal, comprovado por laudo emitido por médico oficial, por médico designado pelo juiz da execução ou, na falta destes, por médico autorizado pelo juiz da execução; 
c) gestantes, cuja gravidez seja considerada de alto risco, desde que comprovada a condição por laudo emitido por médico oficial, por médico designado pelo juiz da execução ou, na falta destes, por médico autorizado pelo juiz da execução;
d) acometidas de doença grave, crônica ou altamente contagiosa, que apresentem grave limitação ambulatorial ou severa restrição para participação regular nas atividades oferecidas pela unidade prisional ou, ainda, que exijam cuidados contínuos que não possam ser adequadamente prestados no estabelecimento, comprovadas a doença e a inadequação por laudo emitido por médico oficial, por médico designado pelo juiz da execução ou, na falta destes, por médico autorizado pelo juiz da execução; ou
e) com transtorno do espectro autista severo (grau 3) ou neurodiversas em condição análoga, comprovado por laudo emitido por médico oficial, por médico designado pelo juiz da execução ou, na falta destes, por médico autorizado pelo juiz da execução.</t>
  </si>
  <si>
    <t>FALTA GRAVE DURANTE TODA A EXECUÇÃO TEM QUE ESTAR NÃO</t>
  </si>
  <si>
    <t>CRIME COM VIOLÊNCIA) TEM QUE SER ZERO</t>
  </si>
  <si>
    <t>Não estejam respondendo ou tenham sido condenadas pela prática de outro crime cometido mediante violência ou grave ameaça a pessoa</t>
  </si>
  <si>
    <t>TEM QUE SER DO SEXO FEMININO</t>
  </si>
  <si>
    <t>a) mães condenadas a pena privativa de liberdade por crimes cometidos sem violência ou grave ameaça a pessoa, que possuam filhos, nascidos ou não no sistema penitenciário brasileiro, de até doze anos de idade ou de qualquer idade, se pessoa com deficiência, nos termos do disposto no art. 2º da Lei nº 13.146, de 6 de julho de 2015, que comprovadamente necessite de seus cuidados, desde que cumprido um sexto da pena;
b) avós condenadas a pena privativa de liberdade por crimes cometidos sem violência ou grave ameaça a pessoa, que possuam netos de até doze anos de idade ou de qualquer idade, se pessoa com deficiência, nos termos do disposto no art. 2º da Lei nº 13.146, de 6 de julho de 2015, que comprovadamente necessite de seus cuidados e esteja sob sua responsabilidade, desde que cumprido um sexto da pena;
c) mulheres condenadas a pena privativa de liberdade por crimes cometidos sem violência ou grave ameaça a pessoa, que tenham completado sessenta anos de idade ou que não tenham vinte e um anos completos, desde que cumprido um sexto da pena; ou
d) mulheres condenadas por crime praticado sem violência ou grave ameaça a pessoa, que sejam consideradas pessoa com deficiência, nos termos do disposto no art. 2º da Lei nº 13.146, de 6 de julho de 2015.</t>
  </si>
  <si>
    <t>Art. 10.  Sem prejuízo do disposto neste Decreto, concede-se indulto natalino especial às mulheres presas, nacionais ou migrantes, que, até 25 de dezembro de 2025, cumulativamente:</t>
  </si>
  <si>
    <t>I45 (VALOR MULTA) TEM QUE SER MENOR QUE 20 MIL</t>
  </si>
  <si>
    <t>Art. 12.  Concede-se o indulto coletivo às pessoas, nacionais e migrantes, condenadas a pena de multa:</t>
  </si>
  <si>
    <t>TOTAL PENA INFERIOR A 8 ANOS</t>
  </si>
  <si>
    <t>TEM QUE SER REINCIDENTE</t>
  </si>
  <si>
    <t>TEM QUE SER MULHER</t>
  </si>
  <si>
    <t>TEM QUE TER CUMPRIDO 2/3 O HEIONDO + 1/3 DOS CRIMES COM VIOLÊNCIA E SEM VIOLÊNCIA</t>
  </si>
  <si>
    <t>Art. 11.  Concede-se a comutação de pena privativa de liberdade às mulheres, nacionais e migrantes:
I - na proporção de um quarto da pena, se reincidentes, quando se tratar de mulheres condenadas a pena privativa de liberdade não superior a oito anos por crime cometido sem violência ou grave ameaça a pessoa, desde que tenham cumprido um terço da pena até 25 de dezembro de 2025;</t>
  </si>
  <si>
    <t>tenham filho menor de dezesseis anos de idade ou de qualquer idade, se pessoa com deficiência ou com doença crônica grave que necessite de seus cuidados</t>
  </si>
  <si>
    <t>TEM QUE SER PRIMÁRIA</t>
  </si>
  <si>
    <t>TEM QUE TER CUMPRIDO 2/3 O HEIONDO + 1/5 DOS CRIMES COM VIOLÊNCIA E SEM VIOLÊNCIA</t>
  </si>
  <si>
    <t>II - na proporção de dois terços da pena, se não reincidentes, quando se tratar de mulheres condenadas por crime cometido sem violência ou grave ameaça a pessoa que tenham filho menor de dezesseis anos de idade ou de qualquer idade, se pessoa com deficiência ou com doença crônica grave que necessite de seus cuidados, desde que cumprido um quinto da pena até 25 de dezembro de 2025; e</t>
  </si>
  <si>
    <t>III - na proporção da metade da pena, se reincidentes, quando se tratar de mulheres condenadas por crime cometido sem violência ou grave ameaça a pessoa que tenha filho menor de dezesseis anos de idade ou de qualquer idade, se pessoa com deficiência ou com doença crônica grave que necessite de seus cuidados, desde que cumprido um quinto da pena até 25 de dezembro de 2025.</t>
  </si>
  <si>
    <t xml:space="preserve"> SE O I18 (REINCIDENTE) ESTIVER NÃO TEM QUE CUMPRIR 1/5 DA PENA TOTAL DA L7 E L8 + 2/3 DO HEDIONDO - SE A I18 ESTIVER SIM TEM QUE CUMPRIR 1/4 DA PENA TOTAL DA L7 E L8 + 2/3 DO HEDIONDO</t>
  </si>
  <si>
    <t>Art. 13.  Concede-se a comutação da pena remanescente na proporção de um quinto da pena, às pessoas condenadas a pena privativa de liberdade que tenham cumprido, até 25 de dezembro de 2025, um quinto da pena, se não reincidentes, ou um quarto da pena, se reincidentes.</t>
  </si>
  <si>
    <t>"I19, I 20, I21 E I36 TEM QUE ESTAR NÃO (FALTA GRAVE, RDD, FACÇÃO E PRESIDIO FEDERAL</t>
  </si>
  <si>
    <t xml:space="preserve"> SE O I18 (REINCIDENTE) ESTIVER NÃO TEM QUE CUMPRIR 1/5 DA PENA TOTAL DA L7 E L8 + 2/3 DO HEDIONDO -SE A I18 ESTIVER SIM TEM QUE CUMPRIR 1/4 DA PENA TOTAL DA L7 E L8 + 2/3 DO HEDIONDO</t>
  </si>
  <si>
    <t xml:space="preserve">§ 4º  Para as pessoas de que trata o art. 9º, § 2º, a comutação de pena prevista neste artigo será na proporção de dois terços.
</t>
  </si>
  <si>
    <t>TOTAL APÓS A COMUTAÇÃO</t>
  </si>
  <si>
    <t>TOTAL DE COMUTAÇÃO ART 11 - I</t>
  </si>
  <si>
    <t>TOTAL DE COMUTAÇÃO ART 11 - II</t>
  </si>
  <si>
    <t>TOTAL DE COMUTAÇÃO ART 11 - III</t>
  </si>
  <si>
    <t>TOTAL DE COMUTAÇÃO ART 12</t>
  </si>
  <si>
    <t>TOTAL DE COMUTAÇÃO ART 12 - §4º</t>
  </si>
  <si>
    <t>1/5 dos crimes não impeditivos (COM E SEM VIOLÊNCIA OU GRAVE AMEAÇA)</t>
  </si>
  <si>
    <t>1/4 dos crimes não impeditivos (COM E SEM VIOLÊNCIA OU GRAVE AMEAÇA)</t>
  </si>
  <si>
    <t>1/3 dos crimes não impeditivos (COM E SEM VIOLÊNCIA OU GRAVE AMEAÇA)</t>
  </si>
  <si>
    <t>1/2 dos crimes não impeditivos (COM E SEM VIOLÊNCIA OU GRAVE AMEAÇA)</t>
  </si>
  <si>
    <t xml:space="preserve"> RESULTADO INDULTO E COMUTAÇÃO - DECRETO 12.970/2025</t>
  </si>
  <si>
    <t>Indulto - Art. 9º, 10 e 11</t>
  </si>
  <si>
    <t>Regra Geral</t>
  </si>
  <si>
    <t>Regra Especial (§ 2º)</t>
  </si>
  <si>
    <r>
      <t xml:space="preserve">I - à pena privativa de liberdade não superior a </t>
    </r>
    <r>
      <rPr>
        <b/>
        <sz val="11"/>
        <rFont val="Calibri"/>
        <family val="2"/>
        <scheme val="major"/>
      </rPr>
      <t>oito anos</t>
    </r>
    <r>
      <rPr>
        <sz val="11"/>
        <rFont val="Calibri"/>
        <family val="2"/>
        <scheme val="major"/>
      </rPr>
      <t xml:space="preserve">, por crime praticado </t>
    </r>
    <r>
      <rPr>
        <b/>
        <sz val="11"/>
        <rFont val="Calibri"/>
        <family val="2"/>
        <scheme val="major"/>
      </rPr>
      <t>sem violência ou grave ameaça a pessoa</t>
    </r>
    <r>
      <rPr>
        <sz val="11"/>
        <rFont val="Calibri"/>
        <family val="2"/>
        <scheme val="major"/>
      </rPr>
      <t>, que tenham cumprido, até 25 de dezembro de 2025, um quinto da pena, se não reincidentes, ou um terço da pena, se reincidentes;</t>
    </r>
  </si>
  <si>
    <r>
      <t xml:space="preserve">II - à pena privativa de liberdade não superior a </t>
    </r>
    <r>
      <rPr>
        <b/>
        <sz val="11"/>
        <rFont val="Calibri"/>
        <family val="2"/>
        <scheme val="major"/>
      </rPr>
      <t>doze anos</t>
    </r>
    <r>
      <rPr>
        <sz val="11"/>
        <rFont val="Calibri"/>
        <family val="2"/>
        <scheme val="major"/>
      </rPr>
      <t xml:space="preserve">, por crime praticado </t>
    </r>
    <r>
      <rPr>
        <b/>
        <sz val="11"/>
        <rFont val="Calibri"/>
        <family val="2"/>
        <scheme val="major"/>
      </rPr>
      <t>sem violência ou grave ameaça a pessoa</t>
    </r>
    <r>
      <rPr>
        <sz val="11"/>
        <rFont val="Calibri"/>
        <family val="2"/>
        <scheme val="major"/>
      </rPr>
      <t>, que tenham cumprido, até 25 de dezembro de 2025, um terço da pena, se não reincidentes, ou metade da pena, se reincidentes;</t>
    </r>
  </si>
  <si>
    <r>
      <t xml:space="preserve">III - à pena privativa de liberdade não superior a </t>
    </r>
    <r>
      <rPr>
        <b/>
        <sz val="11"/>
        <rFont val="Calibri"/>
        <family val="2"/>
        <scheme val="major"/>
      </rPr>
      <t>quatro anos</t>
    </r>
    <r>
      <rPr>
        <sz val="11"/>
        <rFont val="Calibri"/>
        <family val="2"/>
        <scheme val="major"/>
      </rPr>
      <t xml:space="preserve">, por crime praticado </t>
    </r>
    <r>
      <rPr>
        <b/>
        <sz val="11"/>
        <rFont val="Calibri"/>
        <family val="2"/>
        <scheme val="major"/>
      </rPr>
      <t>com violência ou grave ameaça a pessoa</t>
    </r>
    <r>
      <rPr>
        <sz val="11"/>
        <rFont val="Calibri"/>
        <family val="2"/>
        <scheme val="major"/>
      </rPr>
      <t>, que tenham cumprido, até 25 de dezembro de 2025, um terço da pena, se não reincidentes, ou metade da pena, se reincidentes;</t>
    </r>
  </si>
  <si>
    <r>
      <t xml:space="preserve">IV - à pena privativa de liberdade que, até 25 de dezembro de 2025, tenham cumprido, </t>
    </r>
    <r>
      <rPr>
        <b/>
        <sz val="11"/>
        <rFont val="Calibri"/>
        <family val="2"/>
        <scheme val="major"/>
      </rPr>
      <t>ininterruptamente</t>
    </r>
    <r>
      <rPr>
        <sz val="11"/>
        <rFont val="Calibri"/>
        <family val="2"/>
        <scheme val="major"/>
      </rPr>
      <t>, quinze anos da pena, se não reincidentes, ou vinte anos da pena, se reincidentes;</t>
    </r>
  </si>
  <si>
    <r>
      <t xml:space="preserve">V - à pena privativa de liberdade que, até 25 de dezembro de 2025, tenham cumprido, </t>
    </r>
    <r>
      <rPr>
        <b/>
        <sz val="11"/>
        <rFont val="Calibri"/>
        <family val="2"/>
        <scheme val="major"/>
      </rPr>
      <t>não ininterruptamente</t>
    </r>
    <r>
      <rPr>
        <sz val="11"/>
        <rFont val="Calibri"/>
        <family val="2"/>
        <scheme val="major"/>
      </rPr>
      <t>, vinte anos da pena, se não reincidentes, ou vinte e cinco anos da pena, se reincidentes, desde que o período em liberdade não supere dois anos;</t>
    </r>
  </si>
  <si>
    <r>
      <t xml:space="preserve">VI - à pena privativa de liberdade que, até 25 de dezembro de 2025, tenham cumprido </t>
    </r>
    <r>
      <rPr>
        <b/>
        <sz val="11"/>
        <rFont val="Calibri"/>
        <family val="2"/>
        <scheme val="major"/>
      </rPr>
      <t>em regime semiaberto</t>
    </r>
    <r>
      <rPr>
        <sz val="11"/>
        <rFont val="Calibri"/>
        <family val="2"/>
        <scheme val="major"/>
      </rPr>
      <t xml:space="preserve">, </t>
    </r>
    <r>
      <rPr>
        <b/>
        <sz val="11"/>
        <rFont val="Calibri"/>
        <family val="2"/>
        <scheme val="major"/>
      </rPr>
      <t>ininterruptamente</t>
    </r>
    <r>
      <rPr>
        <sz val="11"/>
        <rFont val="Calibri"/>
        <family val="2"/>
        <scheme val="major"/>
      </rPr>
      <t>, dez anos da pena, se não reincidentes, ou quinze anos da pena, se reincidentes;</t>
    </r>
  </si>
  <si>
    <r>
      <t xml:space="preserve">VII - à pena privativa de liberdade sob o </t>
    </r>
    <r>
      <rPr>
        <b/>
        <sz val="11"/>
        <rFont val="Calibri"/>
        <family val="2"/>
        <scheme val="major"/>
      </rPr>
      <t>regime aberto</t>
    </r>
    <r>
      <rPr>
        <sz val="11"/>
        <rFont val="Calibri"/>
        <family val="2"/>
        <scheme val="major"/>
      </rPr>
      <t xml:space="preserve"> ou </t>
    </r>
    <r>
      <rPr>
        <b/>
        <sz val="11"/>
        <rFont val="Calibri"/>
        <family val="2"/>
        <scheme val="major"/>
      </rPr>
      <t>substituída por pena restritiva de direitos</t>
    </r>
    <r>
      <rPr>
        <sz val="11"/>
        <rFont val="Calibri"/>
        <family val="2"/>
        <scheme val="major"/>
      </rPr>
      <t xml:space="preserve">, na forma prevista no art. 44 do Decreto-Lei nº 2.848, de 7 de dezembro de 1940 – Código Penal, ou beneficiadas com a </t>
    </r>
    <r>
      <rPr>
        <b/>
        <sz val="11"/>
        <rFont val="Calibri"/>
        <family val="2"/>
        <scheme val="major"/>
      </rPr>
      <t>suspensão condicional da pena</t>
    </r>
    <r>
      <rPr>
        <sz val="11"/>
        <rFont val="Calibri"/>
        <family val="2"/>
        <scheme val="major"/>
      </rPr>
      <t>, que tenham cumprido, até 25 de dezembro de 2025, um sexto da pena, se não reincidentes, ou um quinto da pena, se reincidentes;</t>
    </r>
  </si>
  <si>
    <r>
      <t xml:space="preserve">VIII - à pena privativa de liberdade que estejam em </t>
    </r>
    <r>
      <rPr>
        <b/>
        <sz val="11"/>
        <rFont val="Calibri"/>
        <family val="2"/>
        <scheme val="major"/>
      </rPr>
      <t>livramento condicional</t>
    </r>
    <r>
      <rPr>
        <sz val="11"/>
        <rFont val="Calibri"/>
        <family val="2"/>
        <scheme val="major"/>
      </rPr>
      <t xml:space="preserve"> ou cumprindo pena em </t>
    </r>
    <r>
      <rPr>
        <b/>
        <sz val="11"/>
        <rFont val="Calibri"/>
        <family val="2"/>
        <scheme val="major"/>
      </rPr>
      <t>regime aberto</t>
    </r>
    <r>
      <rPr>
        <sz val="11"/>
        <rFont val="Calibri"/>
        <family val="2"/>
        <scheme val="major"/>
      </rPr>
      <t xml:space="preserve">, cujo período da </t>
    </r>
    <r>
      <rPr>
        <b/>
        <sz val="11"/>
        <rFont val="Calibri"/>
        <family val="2"/>
        <scheme val="major"/>
      </rPr>
      <t>pena remanescente</t>
    </r>
    <r>
      <rPr>
        <sz val="11"/>
        <rFont val="Calibri"/>
        <family val="2"/>
        <scheme val="major"/>
      </rPr>
      <t>, em 25 de dezembro de 2025, não seja superior a seis anos, se não reincidentes, ou quatro anos, se reincidentes;</t>
    </r>
  </si>
  <si>
    <r>
      <t>IX - à pena privativa de liberdade sob regime inicial aberto ou substituída por pena restritiva de direitos, ou em cumprimento de livramento condicional ou em suspensão condicional da pena que, até 25 de dezembro de 2025, estejam inseridas como</t>
    </r>
    <r>
      <rPr>
        <b/>
        <sz val="11"/>
        <rFont val="Calibri"/>
        <family val="2"/>
        <scheme val="major"/>
      </rPr>
      <t xml:space="preserve"> pré-egressas ou egressas</t>
    </r>
    <r>
      <rPr>
        <sz val="11"/>
        <rFont val="Calibri"/>
        <family val="2"/>
        <scheme val="major"/>
      </rPr>
      <t xml:space="preserve"> em programa de acompanhamento compatível com a Política de Atenção a Pessoas Egressas do Sistema Prisional, instituída pela Resolução nº 307, de 17 de dezembro de 2019, do Conselho Nacional de Justiça, por, no mínimo, dois anos, atendidas por meio de patronatos, escritórios sociais, centrais de alternativas penais ou órgãos congêneres, e que obtenham parecer favorável de aproveitamento do responsável local pelo programa de atendimento;</t>
    </r>
  </si>
  <si>
    <r>
      <t xml:space="preserve">X - à pena privativa de liberdade que, até 25 de dezembro de 2025, em regime semiaberto mediante </t>
    </r>
    <r>
      <rPr>
        <b/>
        <sz val="11"/>
        <rFont val="Calibri"/>
        <family val="2"/>
        <scheme val="major"/>
      </rPr>
      <t>monitoramento eletrônico</t>
    </r>
    <r>
      <rPr>
        <sz val="11"/>
        <rFont val="Calibri"/>
        <family val="2"/>
        <scheme val="major"/>
      </rPr>
      <t>, na forma prevista na Resolução nº 412, de 23 de agosto de 2021, do Conselho Nacional de Justiça, cuja liberação tenha ocorrido com fundamento na Súmula Vinculante nº 56 do Supremo Tribunal Federal e que se encontrem nessa condição há mais de três anos;</t>
    </r>
  </si>
  <si>
    <r>
      <t xml:space="preserve">XI - à pena privativa de liberdade não superior a doze anos, desde que já tenham cumprido um terço da pena, se não reincidentes, ou metade da pena, se reincidentes, em regime semiaberto ou aberto, e que tenham usufruído, até 25 de dezembro de 2025, de, no mínimo, cinco </t>
    </r>
    <r>
      <rPr>
        <b/>
        <sz val="11"/>
        <rFont val="Calibri"/>
        <family val="2"/>
        <scheme val="major"/>
      </rPr>
      <t>saídas temporárias</t>
    </r>
    <r>
      <rPr>
        <sz val="11"/>
        <rFont val="Calibri"/>
        <family val="2"/>
        <scheme val="major"/>
      </rPr>
      <t xml:space="preserve"> previstas no art. 122 da Lei nº 7.210, de 11 de julho de 1984, ou que tenham exercido </t>
    </r>
    <r>
      <rPr>
        <b/>
        <sz val="11"/>
        <rFont val="Calibri"/>
        <family val="2"/>
        <scheme val="major"/>
      </rPr>
      <t>trabalho externo</t>
    </r>
    <r>
      <rPr>
        <sz val="11"/>
        <rFont val="Calibri"/>
        <family val="2"/>
        <scheme val="major"/>
      </rPr>
      <t xml:space="preserve"> por, no mínimo, doze meses nos três anos anteriores, contados retroativamente a 25 de dezembro de 2025;</t>
    </r>
  </si>
  <si>
    <r>
      <t xml:space="preserve">XII - à pena privativa de liberdade não superior a doze anos, desde que já tenham cumprido um sexto da pena, se não reincidentes, ou um quinto da pena, se reincidentes, e que tenham frequentado, ou estejam </t>
    </r>
    <r>
      <rPr>
        <b/>
        <sz val="11"/>
        <rFont val="Calibri"/>
        <family val="2"/>
        <scheme val="major"/>
      </rPr>
      <t>frequentando</t>
    </r>
    <r>
      <rPr>
        <sz val="11"/>
        <rFont val="Calibri"/>
        <family val="2"/>
        <scheme val="major"/>
      </rPr>
      <t xml:space="preserve">, </t>
    </r>
    <r>
      <rPr>
        <b/>
        <sz val="11"/>
        <rFont val="Calibri"/>
        <family val="2"/>
        <scheme val="major"/>
      </rPr>
      <t>curso de ensino fundamental, médio, superior, profissionalizante ou de requalificação profissional</t>
    </r>
    <r>
      <rPr>
        <sz val="11"/>
        <rFont val="Calibri"/>
        <family val="2"/>
        <scheme val="major"/>
      </rPr>
      <t xml:space="preserve">, na forma prevista no art. 126 da Lei nº 7.210, de 11 de julho de 1984, por, no mínimo, doze meses, nos três anos anteriores, se não reincidentes, ou dezoito meses, nos cinco anos anteriores, se reincidentes, contados retroativamente a 25 de dezembro de 2025; </t>
    </r>
  </si>
  <si>
    <t>Sem previsão no Decreto</t>
  </si>
  <si>
    <r>
      <t xml:space="preserve">XIII - à pena privativa de liberdade não superior a doze anos, desde que já tenham cumprido um quinto da pena, se não reincidentes, ou um quarto da pena, se reincidentes, e tenham </t>
    </r>
    <r>
      <rPr>
        <b/>
        <sz val="11"/>
        <rFont val="Calibri"/>
        <family val="2"/>
        <scheme val="major"/>
      </rPr>
      <t>concluído</t>
    </r>
    <r>
      <rPr>
        <sz val="11"/>
        <rFont val="Calibri"/>
        <family val="2"/>
        <scheme val="major"/>
      </rPr>
      <t xml:space="preserve">, durante a execução da pena, </t>
    </r>
    <r>
      <rPr>
        <b/>
        <sz val="11"/>
        <rFont val="Calibri"/>
        <family val="2"/>
        <scheme val="major"/>
      </rPr>
      <t>curso de ensino fundamental, médio, superior ou profissionalizante</t>
    </r>
    <r>
      <rPr>
        <sz val="11"/>
        <rFont val="Calibri"/>
        <family val="2"/>
        <scheme val="major"/>
      </rPr>
      <t>, certificado por autoridade educacional local, na forma prevista no art. 126 da Lei nº 7.210, de 11 de julho de 1984, nos três anos anteriores, contados retroativamente a 25 de dezembro de 2025;</t>
    </r>
  </si>
  <si>
    <r>
      <t xml:space="preserve">XIV - à pena privativa de liberdade por crime </t>
    </r>
    <r>
      <rPr>
        <b/>
        <sz val="11"/>
        <rFont val="Calibri"/>
        <family val="2"/>
        <scheme val="major"/>
      </rPr>
      <t>contra o patrimônio</t>
    </r>
    <r>
      <rPr>
        <sz val="11"/>
        <rFont val="Calibri"/>
        <family val="2"/>
        <scheme val="major"/>
      </rPr>
      <t xml:space="preserve">, cometido </t>
    </r>
    <r>
      <rPr>
        <b/>
        <sz val="11"/>
        <rFont val="Calibri"/>
        <family val="2"/>
        <scheme val="major"/>
      </rPr>
      <t>sem violência ou grave ameaça a pessoa</t>
    </r>
    <r>
      <rPr>
        <sz val="11"/>
        <rFont val="Calibri"/>
        <family val="2"/>
        <scheme val="major"/>
      </rPr>
      <t>, com valor do bem estimado não superior a um salário mínimo à época do fato, desde que tenham cumprido, até 25 de dezembro de 2025, três meses da pena privativa de liberdade;</t>
    </r>
  </si>
  <si>
    <r>
      <t xml:space="preserve">XV -  à pena privativa de liberdade por crime </t>
    </r>
    <r>
      <rPr>
        <b/>
        <sz val="11"/>
        <rFont val="Calibri"/>
        <family val="2"/>
        <scheme val="major"/>
      </rPr>
      <t>contra o patrimônio</t>
    </r>
    <r>
      <rPr>
        <sz val="11"/>
        <rFont val="Calibri"/>
        <family val="2"/>
        <scheme val="major"/>
      </rPr>
      <t xml:space="preserve">, cometido </t>
    </r>
    <r>
      <rPr>
        <b/>
        <sz val="11"/>
        <rFont val="Calibri"/>
        <family val="2"/>
        <scheme val="major"/>
      </rPr>
      <t>sem violência ou grave ameaça a pessoa</t>
    </r>
    <r>
      <rPr>
        <sz val="11"/>
        <rFont val="Calibri"/>
        <family val="2"/>
        <scheme val="major"/>
      </rPr>
      <t xml:space="preserve"> que, até 25 de dezembro de 2025, tenham </t>
    </r>
    <r>
      <rPr>
        <b/>
        <sz val="11"/>
        <rFont val="Calibri"/>
        <family val="2"/>
        <scheme val="major"/>
      </rPr>
      <t>reparado o dano</t>
    </r>
    <r>
      <rPr>
        <sz val="11"/>
        <rFont val="Calibri"/>
        <family val="2"/>
        <scheme val="major"/>
      </rPr>
      <t xml:space="preserve"> conforme o disposto no art. 16 ou no art. 65, caput, inciso III, alínea “b”, do Decreto-Lei nº 2.848, de 7 de dezembro de 1940 – Código Penal, </t>
    </r>
    <r>
      <rPr>
        <b/>
        <sz val="11"/>
        <rFont val="Calibri"/>
        <family val="2"/>
        <scheme val="major"/>
      </rPr>
      <t>excetuada a necessidade de reparação do dano</t>
    </r>
    <r>
      <rPr>
        <sz val="11"/>
        <rFont val="Calibri"/>
        <family val="2"/>
        <scheme val="major"/>
      </rPr>
      <t xml:space="preserve"> nas hipóteses previstas no art. 12, § 2º, deste Decreto;</t>
    </r>
  </si>
  <si>
    <r>
      <t xml:space="preserve">XVI - a) </t>
    </r>
    <r>
      <rPr>
        <b/>
        <sz val="11"/>
        <rFont val="Calibri"/>
        <family val="2"/>
        <scheme val="major"/>
      </rPr>
      <t>com paraplegia, tetraplegia, monoplegia, hemiplegia, ostomia, amputação, paralisia, cegueira ou outra deficiência física</t>
    </r>
    <r>
      <rPr>
        <sz val="11"/>
        <rFont val="Calibri"/>
        <family val="2"/>
        <scheme val="major"/>
      </rPr>
      <t xml:space="preserve"> que acarrete comprometimento análogo, comprovadas por laudo emitido por médico oficial, por médico designado pelo juiz da execução ou, na falta destes, por médico autorizado pelo juiz da execução, desde que essas condições não sejam anteriores à prática do crime; b) </t>
    </r>
    <r>
      <rPr>
        <b/>
        <sz val="11"/>
        <rFont val="Calibri"/>
        <family val="2"/>
        <scheme val="major"/>
      </rPr>
      <t>infectadas pelo Vírus da Imunodeficiência Humana</t>
    </r>
    <r>
      <rPr>
        <sz val="11"/>
        <rFont val="Calibri"/>
        <family val="2"/>
        <scheme val="major"/>
      </rPr>
      <t xml:space="preserve"> (Human Immunodeficiency Virus) – HIV, em estágio terminal, comprovado por laudo emitido por médico oficial, por médico designado pelo juiz da execução ou, na falta destes, por médico autorizado pelo juiz da execução; c) </t>
    </r>
    <r>
      <rPr>
        <b/>
        <sz val="11"/>
        <rFont val="Calibri"/>
        <family val="2"/>
        <scheme val="major"/>
      </rPr>
      <t>gestantes</t>
    </r>
    <r>
      <rPr>
        <sz val="11"/>
        <rFont val="Calibri"/>
        <family val="2"/>
        <scheme val="major"/>
      </rPr>
      <t xml:space="preserve"> cuja gravidez seja considerada de alto risco, desde que comprovada a condição por laudo emitido por médico oficial, por médico designado pelo juiz da execução ou, na falta destes, por médico autorizado pelo juiz da execução; d) </t>
    </r>
    <r>
      <rPr>
        <b/>
        <sz val="11"/>
        <rFont val="Calibri"/>
        <family val="2"/>
        <scheme val="major"/>
      </rPr>
      <t>acometidas de doença grave, crônica ou altamente contagiosa</t>
    </r>
    <r>
      <rPr>
        <sz val="11"/>
        <rFont val="Calibri"/>
        <family val="2"/>
        <scheme val="major"/>
      </rPr>
      <t xml:space="preserve">, que apresentem grave limitação ambulatorial ou severa restrição para participação regular nas atividades oferecidas pela unidade prisional ou, ainda, que exijam cuidados contínuos que não possam ser adequadamente prestados no estabelecimento, comprovadas a doença e a inadequação por laudo emitido por médico oficial, por médico designado pelo juiz da execução ou, na falta destes, por médico autorizado pelo juiz da execução; ou e) </t>
    </r>
    <r>
      <rPr>
        <b/>
        <sz val="11"/>
        <rFont val="Calibri"/>
        <family val="2"/>
        <scheme val="major"/>
      </rPr>
      <t>com transtorno do espectro autista severo</t>
    </r>
    <r>
      <rPr>
        <sz val="11"/>
        <rFont val="Calibri"/>
        <family val="2"/>
        <scheme val="major"/>
      </rPr>
      <t xml:space="preserve"> (grau 3) </t>
    </r>
    <r>
      <rPr>
        <b/>
        <sz val="11"/>
        <rFont val="Calibri"/>
        <family val="2"/>
        <scheme val="major"/>
      </rPr>
      <t>ou neurodiversas</t>
    </r>
    <r>
      <rPr>
        <sz val="11"/>
        <rFont val="Calibri"/>
        <family val="2"/>
        <scheme val="major"/>
      </rPr>
      <t xml:space="preserve"> em condição análoga, comprovado por laudo emitido por médico oficial, por médico designado pelo juiz da execução ou, na falta destes, por médico autorizado pelo juiz da execução.</t>
    </r>
  </si>
  <si>
    <r>
      <t xml:space="preserve">Art. 12.  Concede-se o indulto coletivo às pessoas, nacionais e migrantes, condenadas a </t>
    </r>
    <r>
      <rPr>
        <b/>
        <sz val="11"/>
        <rFont val="Calibri"/>
        <family val="2"/>
        <scheme val="major"/>
      </rPr>
      <t>pena de multa</t>
    </r>
    <r>
      <rPr>
        <sz val="11"/>
        <rFont val="Calibri"/>
        <family val="2"/>
        <scheme val="major"/>
      </rPr>
      <t>:</t>
    </r>
  </si>
  <si>
    <t>Comutação - Art. 11 e 13</t>
  </si>
  <si>
    <t>Total de Comutação</t>
  </si>
  <si>
    <r>
      <t xml:space="preserve">Art. 11.  Concede-se a </t>
    </r>
    <r>
      <rPr>
        <b/>
        <sz val="11"/>
        <rFont val="Calibri"/>
        <family val="2"/>
      </rPr>
      <t>comutação</t>
    </r>
    <r>
      <rPr>
        <sz val="11"/>
        <rFont val="Calibri"/>
        <family val="2"/>
      </rPr>
      <t xml:space="preserve"> de pena privativa de liberdade às </t>
    </r>
    <r>
      <rPr>
        <b/>
        <sz val="11"/>
        <rFont val="Calibri"/>
        <family val="2"/>
      </rPr>
      <t>mulheres</t>
    </r>
    <r>
      <rPr>
        <sz val="11"/>
        <rFont val="Calibri"/>
        <family val="2"/>
      </rPr>
      <t xml:space="preserve">, nacionais e migrantes:
I - na proporção de um quarto da pena, </t>
    </r>
    <r>
      <rPr>
        <b/>
        <sz val="11"/>
        <rFont val="Calibri"/>
        <family val="2"/>
      </rPr>
      <t>se reincidentes</t>
    </r>
    <r>
      <rPr>
        <sz val="11"/>
        <rFont val="Calibri"/>
        <family val="2"/>
      </rPr>
      <t xml:space="preserve">, quando se tratar de </t>
    </r>
    <r>
      <rPr>
        <b/>
        <sz val="11"/>
        <rFont val="Calibri"/>
        <family val="2"/>
      </rPr>
      <t>mulheres</t>
    </r>
    <r>
      <rPr>
        <sz val="11"/>
        <rFont val="Calibri"/>
        <family val="2"/>
      </rPr>
      <t xml:space="preserve"> condenadas à pena privativa de liberdade não superior a oito anos por crime cometido sem violência ou grave ameaça a pessoa, desde que tenham cumprido um terço da pena até 25 de dezembro de 2025;</t>
    </r>
  </si>
  <si>
    <t>Total de pena após a Comutação:</t>
  </si>
  <si>
    <r>
      <t xml:space="preserve">Art. 11, II - na proporção de dois terços da pena, </t>
    </r>
    <r>
      <rPr>
        <b/>
        <sz val="11"/>
        <rFont val="Calibri"/>
        <family val="2"/>
        <scheme val="major"/>
      </rPr>
      <t>se não reincidentes</t>
    </r>
    <r>
      <rPr>
        <sz val="11"/>
        <rFont val="Calibri"/>
        <family val="2"/>
        <scheme val="major"/>
      </rPr>
      <t xml:space="preserve">, quando se tratar de </t>
    </r>
    <r>
      <rPr>
        <b/>
        <sz val="11"/>
        <rFont val="Calibri"/>
        <family val="2"/>
        <scheme val="major"/>
      </rPr>
      <t>mulheres</t>
    </r>
    <r>
      <rPr>
        <sz val="11"/>
        <rFont val="Calibri"/>
        <family val="2"/>
        <scheme val="major"/>
      </rPr>
      <t xml:space="preserve"> condenadas por crime cometido sem violência ou grave ameaça a pessoa que </t>
    </r>
    <r>
      <rPr>
        <b/>
        <sz val="11"/>
        <rFont val="Calibri"/>
        <family val="2"/>
        <scheme val="major"/>
      </rPr>
      <t>tenham filho</t>
    </r>
    <r>
      <rPr>
        <sz val="11"/>
        <rFont val="Calibri"/>
        <family val="2"/>
        <scheme val="major"/>
      </rPr>
      <t xml:space="preserve"> menor de dezesseis anos de idade ou de qualquer idade, se pessoa com deficiência ou com doença crônica grave que necessite de seus cuidados, desde que cumprido um quinto da pena até 25 de dezembro de 2025; e</t>
    </r>
  </si>
  <si>
    <r>
      <t>Art. 11, III - na proporção da metade da pena,</t>
    </r>
    <r>
      <rPr>
        <b/>
        <sz val="11"/>
        <rFont val="Calibri"/>
        <family val="2"/>
        <scheme val="major"/>
      </rPr>
      <t xml:space="preserve"> se reincidentes</t>
    </r>
    <r>
      <rPr>
        <sz val="11"/>
        <rFont val="Calibri"/>
        <family val="2"/>
        <scheme val="major"/>
      </rPr>
      <t>, quando se tratar de</t>
    </r>
    <r>
      <rPr>
        <b/>
        <sz val="11"/>
        <rFont val="Calibri"/>
        <family val="2"/>
        <scheme val="major"/>
      </rPr>
      <t xml:space="preserve"> mulheres</t>
    </r>
    <r>
      <rPr>
        <sz val="11"/>
        <rFont val="Calibri"/>
        <family val="2"/>
        <scheme val="major"/>
      </rPr>
      <t xml:space="preserve"> condenadas por crime cometido sem violência ou grave ameaça a pessoa que</t>
    </r>
    <r>
      <rPr>
        <b/>
        <sz val="11"/>
        <rFont val="Calibri"/>
        <family val="2"/>
        <scheme val="major"/>
      </rPr>
      <t xml:space="preserve"> tenha filho</t>
    </r>
    <r>
      <rPr>
        <sz val="11"/>
        <rFont val="Calibri"/>
        <family val="2"/>
        <scheme val="major"/>
      </rPr>
      <t xml:space="preserve"> menor de dezesseis anos de idade ou de qualquer idade, se pessoa com deficiência ou com doença crônica grave que necessite de seus cuidados, desde que cumprido um quinto da pena até 25 de dezembro de 2025.</t>
    </r>
  </si>
  <si>
    <r>
      <t xml:space="preserve">Art. 13. Concede-se a </t>
    </r>
    <r>
      <rPr>
        <b/>
        <sz val="11"/>
        <rFont val="Calibri"/>
        <family val="2"/>
      </rPr>
      <t>comutação</t>
    </r>
    <r>
      <rPr>
        <sz val="11"/>
        <rFont val="Calibri"/>
        <family val="2"/>
      </rPr>
      <t xml:space="preserve"> da pena remanescente na proporção de um quinto da pena às pessoas condenadas à pena privativa de liberdade que tenham cumprido, até 25 de dezembro de 2025, um quinto da pena, se não reincidentes, ou um quarto da pena, se reincidentes.</t>
    </r>
  </si>
  <si>
    <r>
      <t xml:space="preserve">Art. 13, § 4º  Para as </t>
    </r>
    <r>
      <rPr>
        <b/>
        <sz val="11"/>
        <rFont val="Calibri"/>
        <family val="2"/>
      </rPr>
      <t>pessoas de que trata o art. 9º, § 2º</t>
    </r>
    <r>
      <rPr>
        <sz val="11"/>
        <rFont val="Calibri"/>
        <family val="2"/>
      </rPr>
      <t xml:space="preserve">, a </t>
    </r>
    <r>
      <rPr>
        <b/>
        <sz val="11"/>
        <rFont val="Calibri"/>
        <family val="2"/>
      </rPr>
      <t>comutação</t>
    </r>
    <r>
      <rPr>
        <sz val="11"/>
        <rFont val="Calibri"/>
        <family val="2"/>
      </rPr>
      <t xml:space="preserve"> de pena prevista neste artigo será na proporção de dois terços.</t>
    </r>
  </si>
  <si>
    <t>Notas</t>
  </si>
  <si>
    <t>1- Esta planilha não dispensa o usuário da necessidade de possuir conhecimento técnico sobre o assunto.</t>
  </si>
  <si>
    <t>2- Em nenhuma hipótese, qualquer indicação de Indulto ou Comutação atingirá os crimes impeditivos.</t>
  </si>
  <si>
    <t>3- Indicação de Indulto no Art. 9º, incisos I, II, XIV, XV e no Art. 10 não alcança os crimes cometidos com violência ou grave ameaça.</t>
  </si>
  <si>
    <t>4- A Comutação prevista no Art. 11 está sendo calculado somente para crimes cometidos sem violência ou grave ameaça.</t>
  </si>
  <si>
    <t>S/N</t>
  </si>
  <si>
    <t>SEXO</t>
  </si>
  <si>
    <t>S/N/NA</t>
  </si>
  <si>
    <t>F/AS/A</t>
  </si>
  <si>
    <t>TEMPO egressa</t>
  </si>
  <si>
    <t>TEMPO monitoração</t>
  </si>
  <si>
    <t>saída temporária</t>
  </si>
  <si>
    <t>TRABALHO EXTERNO</t>
  </si>
  <si>
    <t>Estudo</t>
  </si>
  <si>
    <t>FEMININO</t>
  </si>
  <si>
    <t>SEMIABERTO</t>
  </si>
  <si>
    <t>HÁ MENOS DE 01 ANO</t>
  </si>
  <si>
    <t>HÁ MENOS DE 01 ANO E 06 MESES</t>
  </si>
  <si>
    <t>ATÉ 02</t>
  </si>
  <si>
    <t>MENOS DE 12 MESES</t>
  </si>
  <si>
    <t>NÃO SE APLICA</t>
  </si>
  <si>
    <t>ABERTO</t>
  </si>
  <si>
    <t>ENTRE 01 E 02 ANOS</t>
  </si>
  <si>
    <t>ENTRE 01 ANO E 06 MESES E 03 ANOS</t>
  </si>
  <si>
    <t>03 OU 04</t>
  </si>
  <si>
    <t>DE 06 À 12 MESES</t>
  </si>
  <si>
    <t>MAIS DE 12 MESES NOS ÚLTIMOS 3 ANOS</t>
  </si>
  <si>
    <t>HÁ MAIS DE 02 ANOS</t>
  </si>
  <si>
    <t>HÁ MAIS DE 03 ANOS</t>
  </si>
  <si>
    <t>05 OU MAIS</t>
  </si>
  <si>
    <t>MAIS DE 18 MESES NOS ÚLTIMOS 5 ANOS</t>
  </si>
  <si>
    <t>mínimo, doze meses, nos três anos anteriores, se não reincidentes, ou dezoito meses, nos cinco anos anteriores, se reincidentes</t>
  </si>
  <si>
    <t>SOMAR TEMPO DE PENA</t>
  </si>
  <si>
    <t>DIMINUIR TEMPO DE PENA</t>
  </si>
  <si>
    <t>CALCULAR TEMPO DE PENA A PARTIR DE UMA DATA</t>
  </si>
  <si>
    <t>Total da Pena</t>
  </si>
  <si>
    <t>Pena Imposta 360</t>
  </si>
  <si>
    <t>Pena Imposta 365</t>
  </si>
  <si>
    <t>Data início</t>
  </si>
  <si>
    <t>Data Fim</t>
  </si>
  <si>
    <t>Meses</t>
  </si>
  <si>
    <t>CALCULAR TEMPO DE PENA ENTRE DATAS</t>
  </si>
  <si>
    <t>Período</t>
  </si>
  <si>
    <t>Tempo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</si>
</sst>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R$&quot;\ * #,##0.00_-;\-&quot;R$&quot;\ * #,##0.00_-;_-&quot;R$&quot;\ * &quot;-&quot;??_-;_-@"/>
    <numFmt numFmtId="165" formatCode="#,##0\ &quot;Dias&quot;"/>
    <numFmt numFmtId="166" formatCode="0,000\ &quot;Dias&quot;"/>
    <numFmt numFmtId="167" formatCode="&quot;R$&quot;\ #,##0.00"/>
    <numFmt numFmtId="168" formatCode="0_ ;[Red]\-0\ "/>
    <numFmt numFmtId="169" formatCode="#,##0_ ;[Red]\-#,##0\ "/>
  </numFmts>
  <fonts count="38">
    <font>
      <sz val="11"/>
      <color theme="1"/>
      <name val="Calibri"/>
      <scheme val="minor"/>
    </font>
    <font>
      <sz val="11"/>
      <color theme="1"/>
      <name val="Calibri"/>
      <family val="2"/>
      <scheme val="minor"/>
    </font>
    <font>
      <sz val="11"/>
      <color theme="1"/>
      <name val="Calibri"/>
      <family val="2"/>
    </font>
    <font>
      <b/>
      <sz val="18"/>
      <color rgb="FFFFFFFF"/>
      <name val="Calibri"/>
      <family val="2"/>
    </font>
    <font>
      <b/>
      <sz val="18"/>
      <color theme="0"/>
      <name val="Calibri"/>
      <family val="2"/>
    </font>
    <font>
      <b/>
      <sz val="11"/>
      <color theme="1"/>
      <name val="Calibri"/>
      <family val="2"/>
    </font>
    <font>
      <sz val="11"/>
      <name val="Calibri"/>
      <family val="2"/>
    </font>
    <font>
      <sz val="10"/>
      <color theme="1"/>
      <name val="Calibri"/>
      <family val="2"/>
    </font>
    <font>
      <sz val="11"/>
      <color rgb="FF0070C0"/>
      <name val="Calibri"/>
      <family val="2"/>
    </font>
    <font>
      <b/>
      <sz val="11"/>
      <name val="Calibri"/>
      <family val="2"/>
      <scheme val="minor"/>
    </font>
    <font>
      <sz val="11"/>
      <name val="Calibri"/>
      <family val="2"/>
      <scheme val="minor"/>
    </font>
    <font>
      <b/>
      <sz val="9"/>
      <color indexed="81"/>
      <name val="Segoe UI"/>
      <family val="2"/>
    </font>
    <font>
      <sz val="9"/>
      <color indexed="81"/>
      <name val="Segoe UI"/>
      <family val="2"/>
    </font>
    <font>
      <sz val="11"/>
      <color theme="1"/>
      <name val="Calibri"/>
      <family val="2"/>
      <scheme val="major"/>
    </font>
    <font>
      <sz val="11"/>
      <name val="Calibri"/>
      <family val="2"/>
      <scheme val="major"/>
    </font>
    <font>
      <sz val="11"/>
      <color rgb="FFFF0000"/>
      <name val="Calibri"/>
      <family val="2"/>
      <scheme val="major"/>
    </font>
    <font>
      <sz val="11"/>
      <color rgb="FF0070C0"/>
      <name val="Calibri"/>
      <family val="2"/>
      <scheme val="major"/>
    </font>
    <font>
      <sz val="11"/>
      <color rgb="FFFF0000"/>
      <name val="Calibri"/>
      <family val="2"/>
    </font>
    <font>
      <sz val="11"/>
      <color rgb="FFFF0000"/>
      <name val="Calibri"/>
      <family val="2"/>
      <scheme val="minor"/>
    </font>
    <font>
      <sz val="22"/>
      <color theme="1"/>
      <name val="Calibri"/>
      <family val="2"/>
    </font>
    <font>
      <u/>
      <sz val="11"/>
      <color theme="10"/>
      <name val="Calibri"/>
      <family val="2"/>
    </font>
    <font>
      <sz val="18"/>
      <color theme="1"/>
      <name val="Calibri"/>
      <family val="2"/>
    </font>
    <font>
      <b/>
      <sz val="14"/>
      <color rgb="FFFFFFFF"/>
      <name val="Calibri"/>
      <family val="2"/>
    </font>
    <font>
      <b/>
      <sz val="15"/>
      <color theme="2"/>
      <name val="Calibri"/>
      <family val="2"/>
      <scheme val="minor"/>
    </font>
    <font>
      <sz val="10"/>
      <name val="Arial"/>
      <family val="2"/>
    </font>
    <font>
      <b/>
      <sz val="11"/>
      <name val="Calibri"/>
      <family val="2"/>
    </font>
    <font>
      <sz val="11"/>
      <name val="Calibri"/>
      <family val="2"/>
      <scheme val="minor"/>
    </font>
    <font>
      <sz val="11"/>
      <color theme="5"/>
      <name val="Calibri"/>
      <family val="2"/>
    </font>
    <font>
      <sz val="11"/>
      <color theme="5"/>
      <name val="Calibri"/>
      <family val="2"/>
      <scheme val="minor"/>
    </font>
    <font>
      <sz val="11"/>
      <color theme="5"/>
      <name val="Calibri"/>
      <family val="2"/>
      <scheme val="major"/>
    </font>
    <font>
      <sz val="10"/>
      <color theme="5"/>
      <name val="Calibri"/>
      <family val="2"/>
    </font>
    <font>
      <b/>
      <sz val="16"/>
      <color rgb="FFFFFFFF"/>
      <name val="Calibri"/>
      <family val="2"/>
    </font>
    <font>
      <sz val="18"/>
      <name val="Calibri"/>
      <family val="2"/>
    </font>
    <font>
      <u/>
      <sz val="11"/>
      <color theme="10"/>
      <name val="Calibri"/>
      <family val="2"/>
      <scheme val="minor"/>
    </font>
    <font>
      <u/>
      <sz val="10"/>
      <color theme="10"/>
      <name val="Calibri"/>
      <family val="2"/>
      <scheme val="minor"/>
    </font>
    <font>
      <sz val="11"/>
      <color theme="4"/>
      <name val="Calibri"/>
      <family val="2"/>
    </font>
    <font>
      <b/>
      <sz val="11"/>
      <color theme="4"/>
      <name val="Calibri"/>
      <family val="2"/>
      <scheme val="major"/>
    </font>
    <font>
      <b/>
      <sz val="11"/>
      <name val="Calibri"/>
      <family val="2"/>
      <scheme val="major"/>
    </font>
  </fonts>
  <fills count="38">
    <fill>
      <patternFill patternType="none"/>
    </fill>
    <fill>
      <patternFill patternType="gray125"/>
    </fill>
    <fill>
      <patternFill patternType="solid">
        <fgColor theme="0"/>
        <bgColor theme="0"/>
      </patternFill>
    </fill>
    <fill>
      <patternFill patternType="solid">
        <fgColor rgb="FF1F3864"/>
        <bgColor rgb="FF1F3864"/>
      </patternFill>
    </fill>
    <fill>
      <patternFill patternType="solid">
        <fgColor theme="4"/>
        <bgColor theme="4"/>
      </patternFill>
    </fill>
    <fill>
      <patternFill patternType="solid">
        <fgColor rgb="FFFEF2CB"/>
        <bgColor rgb="FFFEF2CB"/>
      </patternFill>
    </fill>
    <fill>
      <patternFill patternType="solid">
        <fgColor rgb="FFD9E2F3"/>
        <bgColor rgb="FFD9E2F3"/>
      </patternFill>
    </fill>
    <fill>
      <patternFill patternType="solid">
        <fgColor rgb="FF6D9EEB"/>
        <bgColor rgb="FF6D9EEB"/>
      </patternFill>
    </fill>
    <fill>
      <patternFill patternType="solid">
        <fgColor rgb="FF92D050"/>
        <bgColor rgb="FF92D050"/>
      </patternFill>
    </fill>
    <fill>
      <patternFill patternType="solid">
        <fgColor theme="7" tint="0.79998168889431442"/>
        <bgColor indexed="64"/>
      </patternFill>
    </fill>
    <fill>
      <patternFill patternType="solid">
        <fgColor theme="2"/>
        <bgColor indexed="64"/>
      </patternFill>
    </fill>
    <fill>
      <patternFill patternType="solid">
        <fgColor theme="0"/>
        <bgColor indexed="64"/>
      </patternFill>
    </fill>
    <fill>
      <patternFill patternType="solid">
        <fgColor theme="9" tint="-0.249977111117893"/>
        <bgColor rgb="FF548135"/>
      </patternFill>
    </fill>
    <fill>
      <patternFill patternType="solid">
        <fgColor theme="0"/>
        <bgColor rgb="FFBFBFBF"/>
      </patternFill>
    </fill>
    <fill>
      <patternFill patternType="solid">
        <fgColor rgb="FFBFBFBF"/>
        <bgColor rgb="FFBFBFBF"/>
      </patternFill>
    </fill>
    <fill>
      <patternFill patternType="solid">
        <fgColor theme="4" tint="0.79998168889431442"/>
        <bgColor indexed="64"/>
      </patternFill>
    </fill>
    <fill>
      <patternFill patternType="solid">
        <fgColor theme="6" tint="0.59999389629810485"/>
        <bgColor indexed="64"/>
      </patternFill>
    </fill>
    <fill>
      <patternFill patternType="solid">
        <fgColor theme="6" tint="0.59999389629810485"/>
        <bgColor rgb="FFBFBFBF"/>
      </patternFill>
    </fill>
    <fill>
      <patternFill patternType="solid">
        <fgColor theme="5" tint="0.59999389629810485"/>
        <bgColor rgb="FFFFD965"/>
      </patternFill>
    </fill>
    <fill>
      <patternFill patternType="solid">
        <fgColor theme="5" tint="0.59999389629810485"/>
        <bgColor rgb="FFBFBFBF"/>
      </patternFill>
    </fill>
    <fill>
      <patternFill patternType="solid">
        <fgColor theme="0"/>
        <bgColor rgb="FF92D050"/>
      </patternFill>
    </fill>
    <fill>
      <patternFill patternType="solid">
        <fgColor theme="0"/>
        <bgColor rgb="FFE7E6E6"/>
      </patternFill>
    </fill>
    <fill>
      <patternFill patternType="solid">
        <fgColor rgb="FFB4C6E7"/>
        <bgColor rgb="FFB4C6E7"/>
      </patternFill>
    </fill>
    <fill>
      <patternFill patternType="solid">
        <fgColor theme="0"/>
        <bgColor rgb="FFD9E2F3"/>
      </patternFill>
    </fill>
    <fill>
      <patternFill patternType="solid">
        <fgColor theme="0"/>
        <bgColor rgb="FFB4C6E7"/>
      </patternFill>
    </fill>
    <fill>
      <patternFill patternType="solid">
        <fgColor theme="0" tint="-0.14999847407452621"/>
        <bgColor rgb="FF92D050"/>
      </patternFill>
    </fill>
    <fill>
      <patternFill patternType="solid">
        <fgColor theme="8"/>
        <bgColor indexed="64"/>
      </patternFill>
    </fill>
    <fill>
      <patternFill patternType="solid">
        <fgColor theme="4" tint="0.79998168889431442"/>
        <bgColor theme="4"/>
      </patternFill>
    </fill>
    <fill>
      <patternFill patternType="solid">
        <fgColor theme="0"/>
        <bgColor theme="4"/>
      </patternFill>
    </fill>
    <fill>
      <patternFill patternType="solid">
        <fgColor theme="4" tint="0.79998168889431442"/>
        <bgColor theme="0"/>
      </patternFill>
    </fill>
    <fill>
      <patternFill patternType="solid">
        <fgColor theme="4"/>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7" tint="0.79998168889431442"/>
        <bgColor rgb="FFBFBFBF"/>
      </patternFill>
    </fill>
    <fill>
      <patternFill patternType="solid">
        <fgColor theme="7" tint="0.79998168889431442"/>
        <bgColor rgb="FFFFD965"/>
      </patternFill>
    </fill>
    <fill>
      <patternFill patternType="solid">
        <fgColor theme="4" tint="0.79998168889431442"/>
        <bgColor rgb="FFD9E2F3"/>
      </patternFill>
    </fill>
    <fill>
      <patternFill patternType="solid">
        <fgColor theme="4" tint="0.79998168889431442"/>
        <bgColor rgb="FF92D050"/>
      </patternFill>
    </fill>
    <fill>
      <patternFill patternType="solid">
        <fgColor theme="2"/>
        <bgColor rgb="FF92D050"/>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ck">
        <color rgb="FFBFBFBF"/>
      </bottom>
      <diagonal/>
    </border>
    <border>
      <left style="thin">
        <color rgb="FFBFBFBF"/>
      </left>
      <right style="thick">
        <color rgb="FFBFBFBF"/>
      </right>
      <top style="thin">
        <color rgb="FFBFBFBF"/>
      </top>
      <bottom style="thick">
        <color rgb="FFBFBFBF"/>
      </bottom>
      <diagonal/>
    </border>
    <border>
      <left style="thin">
        <color rgb="FF8EAADB"/>
      </left>
      <right style="thick">
        <color rgb="FF8EAADB"/>
      </right>
      <top style="thin">
        <color rgb="FF8EAADB"/>
      </top>
      <bottom style="thick">
        <color rgb="FF8EAADB"/>
      </bottom>
      <diagonal/>
    </border>
    <border>
      <left style="thin">
        <color rgb="FFBFBFBF"/>
      </left>
      <right/>
      <top style="thin">
        <color rgb="FFBFBFBF"/>
      </top>
      <bottom style="thick">
        <color rgb="FFBFBFBF"/>
      </bottom>
      <diagonal/>
    </border>
    <border>
      <left/>
      <right style="thin">
        <color rgb="FF8EAADB"/>
      </right>
      <top style="thin">
        <color rgb="FF8EAADB"/>
      </top>
      <bottom style="thick">
        <color rgb="FF8EAADB"/>
      </bottom>
      <diagonal/>
    </border>
    <border>
      <left/>
      <right/>
      <top/>
      <bottom/>
      <diagonal/>
    </border>
    <border>
      <left style="thin">
        <color rgb="FF8EAADB"/>
      </left>
      <right/>
      <top style="thin">
        <color rgb="FF8EAADB"/>
      </top>
      <bottom style="thick">
        <color rgb="FF8EAAD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8EAADB"/>
      </top>
      <bottom style="thick">
        <color rgb="FF8EAADB"/>
      </bottom>
      <diagonal/>
    </border>
    <border>
      <left/>
      <right/>
      <top style="thin">
        <color rgb="FFBFBFBF"/>
      </top>
      <bottom style="thick">
        <color rgb="FFBFBFBF"/>
      </bottom>
      <diagonal/>
    </border>
    <border>
      <left/>
      <right style="thin">
        <color rgb="FFBFBFBF"/>
      </right>
      <top style="thin">
        <color rgb="FFBFBFBF"/>
      </top>
      <bottom style="thick">
        <color rgb="FFBFBFBF"/>
      </bottom>
      <diagonal/>
    </border>
    <border>
      <left style="thin">
        <color rgb="FFBFBFBF"/>
      </left>
      <right style="thin">
        <color theme="4" tint="0.39994506668294322"/>
      </right>
      <top style="thin">
        <color rgb="FFBFBFBF"/>
      </top>
      <bottom/>
      <diagonal/>
    </border>
    <border>
      <left style="thin">
        <color rgb="FFBFBFBF"/>
      </left>
      <right style="thin">
        <color theme="4" tint="0.39994506668294322"/>
      </right>
      <top/>
      <bottom style="thick">
        <color theme="4" tint="0.39994506668294322"/>
      </bottom>
      <diagonal/>
    </border>
    <border>
      <left style="thin">
        <color theme="4" tint="0.39994506668294322"/>
      </left>
      <right style="thin">
        <color theme="4" tint="0.39991454817346722"/>
      </right>
      <top style="thin">
        <color theme="4" tint="0.39994506668294322"/>
      </top>
      <bottom style="thin">
        <color theme="4" tint="0.39994506668294322"/>
      </bottom>
      <diagonal/>
    </border>
    <border>
      <left style="thin">
        <color theme="4" tint="0.39991454817346722"/>
      </left>
      <right style="thin">
        <color theme="4" tint="0.39991454817346722"/>
      </right>
      <top style="thin">
        <color theme="4" tint="0.39994506668294322"/>
      </top>
      <bottom style="thin">
        <color theme="4" tint="0.39994506668294322"/>
      </bottom>
      <diagonal/>
    </border>
    <border>
      <left style="thin">
        <color theme="4" tint="0.39994506668294322"/>
      </left>
      <right style="thin">
        <color theme="4" tint="0.39991454817346722"/>
      </right>
      <top style="thin">
        <color theme="4" tint="0.39994506668294322"/>
      </top>
      <bottom style="thick">
        <color theme="4" tint="0.39994506668294322"/>
      </bottom>
      <diagonal/>
    </border>
    <border>
      <left style="thin">
        <color theme="4" tint="0.39991454817346722"/>
      </left>
      <right style="thin">
        <color theme="4" tint="0.39991454817346722"/>
      </right>
      <top style="thin">
        <color theme="4" tint="0.39994506668294322"/>
      </top>
      <bottom style="thick">
        <color theme="4" tint="0.39994506668294322"/>
      </bottom>
      <diagonal/>
    </border>
    <border>
      <left style="thin">
        <color rgb="FF8EAADB"/>
      </left>
      <right/>
      <top style="thin">
        <color rgb="FF8EAADB"/>
      </top>
      <bottom/>
      <diagonal/>
    </border>
    <border>
      <left/>
      <right style="thin">
        <color rgb="FF8EAADB"/>
      </right>
      <top style="thin">
        <color rgb="FF8EAADB"/>
      </top>
      <bottom/>
      <diagonal/>
    </border>
    <border>
      <left style="thin">
        <color rgb="FFBFBFBF"/>
      </left>
      <right style="thin">
        <color theme="4" tint="0.39994506668294322"/>
      </right>
      <top style="thin">
        <color rgb="FFBFBFBF"/>
      </top>
      <bottom style="thin">
        <color rgb="FFBFBFBF"/>
      </bottom>
      <diagonal/>
    </border>
    <border>
      <left style="thin">
        <color theme="4" tint="0.39994506668294322"/>
      </left>
      <right style="thin">
        <color theme="4" tint="0.39991454817346722"/>
      </right>
      <top style="thin">
        <color theme="4" tint="0.39994506668294322"/>
      </top>
      <bottom style="thin">
        <color rgb="FFBFBFBF"/>
      </bottom>
      <diagonal/>
    </border>
    <border>
      <left style="thin">
        <color theme="4" tint="0.39991454817346722"/>
      </left>
      <right style="thin">
        <color theme="4" tint="0.39991454817346722"/>
      </right>
      <top style="thin">
        <color theme="4" tint="0.39994506668294322"/>
      </top>
      <bottom style="thin">
        <color rgb="FFBFBFBF"/>
      </bottom>
      <diagonal/>
    </border>
    <border>
      <left style="thin">
        <color rgb="FFBFBFBF"/>
      </left>
      <right style="thin">
        <color theme="4" tint="0.39994506668294322"/>
      </right>
      <top style="thin">
        <color rgb="FFBFBFBF"/>
      </top>
      <bottom style="thick">
        <color rgb="FFBFBFBF"/>
      </bottom>
      <diagonal/>
    </border>
    <border>
      <left style="thin">
        <color theme="4" tint="0.39994506668294322"/>
      </left>
      <right style="thin">
        <color theme="4" tint="0.39991454817346722"/>
      </right>
      <top style="thin">
        <color rgb="FFBFBFBF"/>
      </top>
      <bottom style="thick">
        <color rgb="FFBFBFBF"/>
      </bottom>
      <diagonal/>
    </border>
    <border>
      <left style="thin">
        <color theme="4" tint="0.39991454817346722"/>
      </left>
      <right style="thin">
        <color theme="4" tint="0.39991454817346722"/>
      </right>
      <top style="thin">
        <color rgb="FFBFBFBF"/>
      </top>
      <bottom style="thick">
        <color rgb="FFBFBFBF"/>
      </bottom>
      <diagonal/>
    </border>
    <border>
      <left style="thin">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n">
        <color rgb="FF8EAADB"/>
      </right>
      <top style="thin">
        <color theme="2" tint="-0.24994659260841701"/>
      </top>
      <bottom style="thick">
        <color theme="2" tint="-0.24994659260841701"/>
      </bottom>
      <diagonal/>
    </border>
    <border>
      <left style="thin">
        <color rgb="FF8EAADB"/>
      </left>
      <right style="thick">
        <color theme="2" tint="-0.24994659260841701"/>
      </right>
      <top style="thin">
        <color theme="2" tint="-0.24994659260841701"/>
      </top>
      <bottom style="thick">
        <color theme="2" tint="-0.24994659260841701"/>
      </bottom>
      <diagonal/>
    </border>
    <border>
      <left style="thin">
        <color indexed="64"/>
      </left>
      <right/>
      <top/>
      <bottom/>
      <diagonal/>
    </border>
    <border>
      <left/>
      <right style="thin">
        <color indexed="64"/>
      </right>
      <top/>
      <bottom/>
      <diagonal/>
    </border>
    <border>
      <left style="thin">
        <color theme="4" tint="0.39991454817346722"/>
      </left>
      <right style="thick">
        <color theme="4" tint="0.39988402966399123"/>
      </right>
      <top style="thin">
        <color theme="4" tint="0.39994506668294322"/>
      </top>
      <bottom style="thin">
        <color theme="4" tint="0.39994506668294322"/>
      </bottom>
      <diagonal/>
    </border>
    <border>
      <left style="thin">
        <color theme="4" tint="0.39991454817346722"/>
      </left>
      <right style="thick">
        <color theme="0" tint="-0.24994659260841701"/>
      </right>
      <top style="thin">
        <color theme="4" tint="0.39994506668294322"/>
      </top>
      <bottom style="thin">
        <color rgb="FFBFBFBF"/>
      </bottom>
      <diagonal/>
    </border>
    <border>
      <left style="thin">
        <color theme="4" tint="0.39991454817346722"/>
      </left>
      <right style="thick">
        <color theme="0" tint="-0.24994659260841701"/>
      </right>
      <top style="thin">
        <color rgb="FFBFBFBF"/>
      </top>
      <bottom style="thick">
        <color rgb="FFBFBFBF"/>
      </bottom>
      <diagonal/>
    </border>
    <border>
      <left style="thin">
        <color theme="4" tint="0.39991454817346722"/>
      </left>
      <right style="thick">
        <color theme="4" tint="0.39988402966399123"/>
      </right>
      <top style="thin">
        <color theme="4" tint="0.39994506668294322"/>
      </top>
      <bottom style="thick">
        <color theme="4" tint="0.39994506668294322"/>
      </bottom>
      <diagonal/>
    </border>
    <border>
      <left/>
      <right style="thick">
        <color rgb="FF8EAADB"/>
      </right>
      <top style="thin">
        <color rgb="FF8EAADB"/>
      </top>
      <bottom style="thick">
        <color rgb="FF8EAADB"/>
      </bottom>
      <diagonal/>
    </border>
    <border>
      <left style="thin">
        <color rgb="FFBFBFBF"/>
      </left>
      <right/>
      <top style="thin">
        <color rgb="FFBFBFBF"/>
      </top>
      <bottom style="thin">
        <color rgb="FFBFBFBF"/>
      </bottom>
      <diagonal/>
    </border>
    <border>
      <left style="thin">
        <color rgb="FF8EAADB"/>
      </left>
      <right/>
      <top style="thin">
        <color rgb="FF8EAADB"/>
      </top>
      <bottom style="thin">
        <color rgb="FF8EAADB"/>
      </bottom>
      <diagonal/>
    </border>
    <border>
      <left style="thin">
        <color rgb="FFBFBFBF"/>
      </left>
      <right style="thin">
        <color indexed="64"/>
      </right>
      <top style="thin">
        <color rgb="FFBFBFBF"/>
      </top>
      <bottom style="thin">
        <color rgb="FFBFBFBF"/>
      </bottom>
      <diagonal/>
    </border>
    <border>
      <left style="thin">
        <color rgb="FFBFBFBF"/>
      </left>
      <right style="thin">
        <color indexed="64"/>
      </right>
      <top style="thin">
        <color rgb="FFBFBFBF"/>
      </top>
      <bottom style="thick">
        <color rgb="FFBFBFBF"/>
      </bottom>
      <diagonal/>
    </border>
    <border>
      <left style="thin">
        <color theme="4" tint="0.59996337778862885"/>
      </left>
      <right style="thin">
        <color indexed="64"/>
      </right>
      <top style="thin">
        <color rgb="FF8EAADB"/>
      </top>
      <bottom style="thick">
        <color theme="4" tint="0.59996337778862885"/>
      </bottom>
      <diagonal/>
    </border>
    <border>
      <left style="thin">
        <color theme="4" tint="0.59996337778862885"/>
      </left>
      <right style="thin">
        <color indexed="64"/>
      </right>
      <top style="thin">
        <color rgb="FF000000"/>
      </top>
      <bottom style="thin">
        <color theme="4" tint="0.59996337778862885"/>
      </bottom>
      <diagonal/>
    </border>
    <border>
      <left style="thin">
        <color theme="4" tint="0.59996337778862885"/>
      </left>
      <right style="thin">
        <color indexed="64"/>
      </right>
      <top style="thin">
        <color theme="4" tint="0.59996337778862885"/>
      </top>
      <bottom style="thick">
        <color theme="4" tint="0.59996337778862885"/>
      </bottom>
      <diagonal/>
    </border>
  </borders>
  <cellStyleXfs count="2">
    <xf numFmtId="0" fontId="0" fillId="0" borderId="0"/>
    <xf numFmtId="0" fontId="33" fillId="0" borderId="0" applyNumberFormat="0" applyFill="0" applyBorder="0" applyAlignment="0" applyProtection="0"/>
  </cellStyleXfs>
  <cellXfs count="324">
    <xf numFmtId="0" fontId="0" fillId="0" borderId="0" xfId="0"/>
    <xf numFmtId="0" fontId="5"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5" fillId="4" borderId="1" xfId="0" applyFont="1" applyFill="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center"/>
    </xf>
    <xf numFmtId="0" fontId="2"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wrapText="1"/>
    </xf>
    <xf numFmtId="0" fontId="2" fillId="0" borderId="0" xfId="0" applyFont="1" applyAlignment="1">
      <alignment wrapText="1"/>
    </xf>
    <xf numFmtId="0" fontId="2" fillId="0" borderId="0" xfId="0" applyFont="1" applyAlignment="1">
      <alignment horizontal="center"/>
    </xf>
    <xf numFmtId="0" fontId="2" fillId="0" borderId="0" xfId="0" applyFont="1"/>
    <xf numFmtId="0" fontId="5" fillId="0" borderId="0" xfId="0" applyFont="1"/>
    <xf numFmtId="0" fontId="2" fillId="2" borderId="9" xfId="0" applyFont="1" applyFill="1" applyBorder="1"/>
    <xf numFmtId="0" fontId="9" fillId="4" borderId="11" xfId="0" applyFont="1" applyFill="1" applyBorder="1" applyAlignment="1">
      <alignment horizontal="left" vertical="center"/>
    </xf>
    <xf numFmtId="0" fontId="9" fillId="4" borderId="11" xfId="0" applyFont="1" applyFill="1" applyBorder="1" applyAlignment="1">
      <alignment horizontal="center" vertical="center"/>
    </xf>
    <xf numFmtId="0" fontId="10" fillId="9" borderId="11" xfId="0" applyFont="1" applyFill="1" applyBorder="1" applyAlignment="1">
      <alignment horizontal="left" vertical="center" wrapText="1"/>
    </xf>
    <xf numFmtId="0" fontId="10" fillId="9" borderId="11" xfId="0" applyFont="1" applyFill="1" applyBorder="1" applyAlignment="1">
      <alignment horizontal="left" vertical="center"/>
    </xf>
    <xf numFmtId="0" fontId="10" fillId="10" borderId="0" xfId="0" applyFont="1" applyFill="1"/>
    <xf numFmtId="0" fontId="2" fillId="0" borderId="15" xfId="0" applyFont="1" applyBorder="1" applyAlignment="1">
      <alignment horizontal="center" vertical="center"/>
    </xf>
    <xf numFmtId="0" fontId="2" fillId="2" borderId="15" xfId="0" applyFont="1" applyFill="1" applyBorder="1" applyAlignment="1">
      <alignment horizontal="center" vertical="center"/>
    </xf>
    <xf numFmtId="0" fontId="6" fillId="2" borderId="9" xfId="0" applyFont="1" applyFill="1" applyBorder="1"/>
    <xf numFmtId="0" fontId="2" fillId="0" borderId="1" xfId="0" applyFont="1" applyBorder="1" applyAlignment="1">
      <alignment horizontal="left" vertical="center" wrapText="1"/>
    </xf>
    <xf numFmtId="14" fontId="6" fillId="2" borderId="5" xfId="0" applyNumberFormat="1" applyFont="1" applyFill="1" applyBorder="1" applyAlignment="1">
      <alignment horizontal="center"/>
    </xf>
    <xf numFmtId="14" fontId="6" fillId="6" borderId="6" xfId="0" applyNumberFormat="1" applyFont="1" applyFill="1" applyBorder="1" applyAlignment="1">
      <alignment horizontal="center"/>
    </xf>
    <xf numFmtId="167" fontId="6" fillId="2" borderId="5" xfId="0" applyNumberFormat="1" applyFont="1" applyFill="1" applyBorder="1" applyAlignment="1">
      <alignment horizontal="center"/>
    </xf>
    <xf numFmtId="0" fontId="13" fillId="0" borderId="0" xfId="0" applyFont="1"/>
    <xf numFmtId="0" fontId="13" fillId="0" borderId="0" xfId="0" applyFont="1" applyAlignment="1">
      <alignment wrapText="1"/>
    </xf>
    <xf numFmtId="0" fontId="13" fillId="11" borderId="0" xfId="0" applyFont="1" applyFill="1"/>
    <xf numFmtId="0" fontId="14" fillId="11" borderId="11" xfId="0" applyFont="1" applyFill="1" applyBorder="1" applyAlignment="1">
      <alignment horizontal="left" vertical="center"/>
    </xf>
    <xf numFmtId="0" fontId="13" fillId="0" borderId="11" xfId="0" applyFont="1" applyBorder="1" applyAlignment="1">
      <alignment horizontal="center"/>
    </xf>
    <xf numFmtId="0" fontId="13" fillId="0" borderId="11" xfId="0" applyFont="1" applyBorder="1"/>
    <xf numFmtId="0" fontId="13" fillId="0" borderId="11" xfId="0" applyFont="1" applyBorder="1" applyAlignment="1">
      <alignment horizontal="center" wrapText="1"/>
    </xf>
    <xf numFmtId="0" fontId="13" fillId="0" borderId="11" xfId="0" applyFont="1" applyBorder="1" applyAlignment="1">
      <alignment wrapText="1"/>
    </xf>
    <xf numFmtId="0" fontId="16" fillId="8" borderId="11" xfId="0" applyFont="1" applyFill="1" applyBorder="1" applyAlignment="1">
      <alignment horizontal="center" vertical="center" wrapText="1"/>
    </xf>
    <xf numFmtId="0" fontId="14" fillId="10" borderId="11" xfId="0" applyFont="1" applyFill="1" applyBorder="1"/>
    <xf numFmtId="0" fontId="13" fillId="11" borderId="11" xfId="0" applyFont="1" applyFill="1" applyBorder="1"/>
    <xf numFmtId="0" fontId="13" fillId="13" borderId="11" xfId="0" applyFont="1" applyFill="1" applyBorder="1"/>
    <xf numFmtId="0" fontId="13" fillId="13" borderId="11" xfId="0" applyFont="1" applyFill="1" applyBorder="1" applyAlignment="1">
      <alignment horizontal="center"/>
    </xf>
    <xf numFmtId="165" fontId="13" fillId="13" borderId="11" xfId="0" applyNumberFormat="1" applyFont="1" applyFill="1" applyBorder="1" applyAlignment="1">
      <alignment horizontal="center"/>
    </xf>
    <xf numFmtId="165" fontId="13" fillId="11" borderId="11" xfId="0" applyNumberFormat="1" applyFont="1" applyFill="1" applyBorder="1"/>
    <xf numFmtId="166" fontId="13" fillId="13" borderId="11" xfId="0" applyNumberFormat="1" applyFont="1" applyFill="1" applyBorder="1" applyAlignment="1">
      <alignment horizontal="center"/>
    </xf>
    <xf numFmtId="166" fontId="13" fillId="11" borderId="11" xfId="0" applyNumberFormat="1" applyFont="1" applyFill="1" applyBorder="1"/>
    <xf numFmtId="0" fontId="15" fillId="13" borderId="11" xfId="0" applyFont="1" applyFill="1" applyBorder="1" applyAlignment="1">
      <alignment horizontal="center"/>
    </xf>
    <xf numFmtId="0" fontId="5" fillId="4" borderId="19" xfId="0" applyFont="1" applyFill="1" applyBorder="1" applyAlignment="1">
      <alignment horizontal="center" vertical="center"/>
    </xf>
    <xf numFmtId="0" fontId="0" fillId="11" borderId="0" xfId="0" applyFill="1"/>
    <xf numFmtId="0" fontId="14" fillId="11" borderId="11" xfId="0" applyFont="1" applyFill="1" applyBorder="1" applyAlignment="1">
      <alignment horizontal="center" vertical="center"/>
    </xf>
    <xf numFmtId="0" fontId="2" fillId="2" borderId="11" xfId="0" applyFont="1" applyFill="1" applyBorder="1" applyAlignment="1">
      <alignment horizontal="left" vertical="center"/>
    </xf>
    <xf numFmtId="0" fontId="2" fillId="13" borderId="11" xfId="0" applyFont="1" applyFill="1" applyBorder="1" applyAlignment="1">
      <alignment wrapText="1"/>
    </xf>
    <xf numFmtId="0" fontId="17" fillId="13" borderId="11" xfId="0" applyFont="1" applyFill="1" applyBorder="1" applyAlignment="1">
      <alignment horizontal="center"/>
    </xf>
    <xf numFmtId="0" fontId="19" fillId="0" borderId="0" xfId="0" applyFont="1"/>
    <xf numFmtId="0" fontId="20" fillId="0" borderId="0" xfId="0" applyFont="1"/>
    <xf numFmtId="0" fontId="18" fillId="0" borderId="0" xfId="0" applyFont="1"/>
    <xf numFmtId="0" fontId="13" fillId="16" borderId="11" xfId="0" applyFont="1" applyFill="1" applyBorder="1" applyAlignment="1">
      <alignment horizontal="center"/>
    </xf>
    <xf numFmtId="165" fontId="13" fillId="17" borderId="11" xfId="0" applyNumberFormat="1" applyFont="1" applyFill="1" applyBorder="1" applyAlignment="1">
      <alignment horizontal="center"/>
    </xf>
    <xf numFmtId="165" fontId="13" fillId="19" borderId="11" xfId="0" applyNumberFormat="1" applyFont="1" applyFill="1" applyBorder="1" applyAlignment="1">
      <alignment horizontal="center"/>
    </xf>
    <xf numFmtId="0" fontId="21" fillId="0" borderId="0" xfId="0" applyFont="1" applyAlignment="1">
      <alignment wrapText="1"/>
    </xf>
    <xf numFmtId="0" fontId="10" fillId="11" borderId="11" xfId="0" applyFont="1" applyFill="1" applyBorder="1" applyAlignment="1">
      <alignment horizontal="right" vertical="center"/>
    </xf>
    <xf numFmtId="0" fontId="22" fillId="7" borderId="2" xfId="0" applyFont="1" applyFill="1" applyBorder="1" applyAlignment="1">
      <alignment horizontal="center" vertical="center"/>
    </xf>
    <xf numFmtId="0" fontId="0" fillId="0" borderId="11" xfId="0" applyBorder="1"/>
    <xf numFmtId="0" fontId="0" fillId="11" borderId="11" xfId="0" applyFill="1" applyBorder="1"/>
    <xf numFmtId="0" fontId="2" fillId="11" borderId="11" xfId="0" applyFont="1" applyFill="1" applyBorder="1" applyAlignment="1">
      <alignment horizontal="center"/>
    </xf>
    <xf numFmtId="0" fontId="13" fillId="11" borderId="11" xfId="0" applyFont="1" applyFill="1" applyBorder="1" applyAlignment="1">
      <alignment wrapText="1"/>
    </xf>
    <xf numFmtId="0" fontId="0" fillId="0" borderId="9" xfId="0" applyBorder="1"/>
    <xf numFmtId="0" fontId="13" fillId="0" borderId="24" xfId="0" applyFont="1" applyBorder="1"/>
    <xf numFmtId="0" fontId="13" fillId="0" borderId="24" xfId="0" applyFont="1" applyBorder="1" applyAlignment="1">
      <alignment horizontal="center"/>
    </xf>
    <xf numFmtId="0" fontId="13" fillId="0" borderId="9" xfId="0" applyFont="1" applyBorder="1" applyAlignment="1">
      <alignment wrapText="1"/>
    </xf>
    <xf numFmtId="0" fontId="13" fillId="11" borderId="24" xfId="0" applyFont="1" applyFill="1" applyBorder="1"/>
    <xf numFmtId="0" fontId="23" fillId="26" borderId="11" xfId="0" applyFont="1" applyFill="1" applyBorder="1"/>
    <xf numFmtId="0" fontId="13" fillId="11" borderId="23" xfId="0" applyFont="1" applyFill="1" applyBorder="1" applyAlignment="1">
      <alignment horizontal="center"/>
    </xf>
    <xf numFmtId="0" fontId="14" fillId="11" borderId="0" xfId="0" applyFont="1" applyFill="1"/>
    <xf numFmtId="0" fontId="6" fillId="11" borderId="0" xfId="0" applyFont="1" applyFill="1"/>
    <xf numFmtId="0" fontId="14" fillId="11" borderId="11" xfId="0" applyFont="1" applyFill="1" applyBorder="1" applyAlignment="1">
      <alignment horizontal="center"/>
    </xf>
    <xf numFmtId="0" fontId="14" fillId="11" borderId="11" xfId="0" applyFont="1" applyFill="1" applyBorder="1" applyAlignment="1">
      <alignment horizontal="right"/>
    </xf>
    <xf numFmtId="0" fontId="14" fillId="2" borderId="11" xfId="0" applyFont="1" applyFill="1" applyBorder="1"/>
    <xf numFmtId="0" fontId="14" fillId="11" borderId="11" xfId="0" applyFont="1" applyFill="1" applyBorder="1"/>
    <xf numFmtId="0" fontId="10" fillId="11" borderId="0" xfId="0" applyFont="1" applyFill="1"/>
    <xf numFmtId="2" fontId="14" fillId="11" borderId="11" xfId="0" applyNumberFormat="1" applyFont="1" applyFill="1" applyBorder="1"/>
    <xf numFmtId="0" fontId="6" fillId="11" borderId="11" xfId="0" applyFont="1" applyFill="1" applyBorder="1" applyAlignment="1">
      <alignment wrapText="1"/>
    </xf>
    <xf numFmtId="14" fontId="14" fillId="2" borderId="11" xfId="0" applyNumberFormat="1" applyFont="1" applyFill="1" applyBorder="1" applyAlignment="1">
      <alignment horizontal="center"/>
    </xf>
    <xf numFmtId="14" fontId="14" fillId="13" borderId="11" xfId="0" applyNumberFormat="1" applyFont="1" applyFill="1" applyBorder="1" applyAlignment="1">
      <alignment horizontal="center"/>
    </xf>
    <xf numFmtId="166" fontId="14" fillId="13" borderId="11" xfId="0" applyNumberFormat="1" applyFont="1" applyFill="1" applyBorder="1"/>
    <xf numFmtId="0" fontId="14" fillId="13" borderId="11" xfId="0" applyFont="1" applyFill="1" applyBorder="1"/>
    <xf numFmtId="0" fontId="10" fillId="11" borderId="11" xfId="0" applyFont="1" applyFill="1" applyBorder="1"/>
    <xf numFmtId="0" fontId="14" fillId="11" borderId="11" xfId="0" applyFont="1" applyFill="1" applyBorder="1" applyAlignment="1">
      <alignment horizontal="center" wrapText="1"/>
    </xf>
    <xf numFmtId="164" fontId="14" fillId="2" borderId="11" xfId="0" applyNumberFormat="1" applyFont="1" applyFill="1" applyBorder="1" applyAlignment="1">
      <alignment horizontal="center"/>
    </xf>
    <xf numFmtId="167" fontId="6" fillId="2" borderId="5" xfId="0" applyNumberFormat="1" applyFont="1" applyFill="1" applyBorder="1" applyAlignment="1">
      <alignment horizontal="center" wrapText="1"/>
    </xf>
    <xf numFmtId="0" fontId="6" fillId="0" borderId="0" xfId="0" applyFont="1" applyAlignment="1">
      <alignment horizontal="left" vertical="center"/>
    </xf>
    <xf numFmtId="0" fontId="13" fillId="8" borderId="1" xfId="0" applyFont="1" applyFill="1" applyBorder="1" applyAlignment="1">
      <alignment horizontal="center" vertical="center" wrapText="1"/>
    </xf>
    <xf numFmtId="0" fontId="14" fillId="0" borderId="0" xfId="0" applyFont="1" applyAlignment="1">
      <alignment horizontal="left" vertical="center" wrapText="1"/>
    </xf>
    <xf numFmtId="0" fontId="13" fillId="2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5" fillId="27" borderId="30" xfId="0" applyFont="1" applyFill="1" applyBorder="1" applyAlignment="1">
      <alignment horizontal="center" vertical="center"/>
    </xf>
    <xf numFmtId="0" fontId="5" fillId="27" borderId="31" xfId="0" applyFont="1" applyFill="1" applyBorder="1" applyAlignment="1">
      <alignment horizontal="center" vertical="center"/>
    </xf>
    <xf numFmtId="49" fontId="6" fillId="29" borderId="32" xfId="0" applyNumberFormat="1" applyFont="1" applyFill="1" applyBorder="1" applyAlignment="1">
      <alignment horizontal="center"/>
    </xf>
    <xf numFmtId="49" fontId="6" fillId="29" borderId="33" xfId="0" applyNumberFormat="1" applyFont="1" applyFill="1" applyBorder="1" applyAlignment="1">
      <alignment horizontal="center"/>
    </xf>
    <xf numFmtId="0" fontId="6" fillId="11" borderId="11" xfId="0" applyFont="1" applyFill="1" applyBorder="1"/>
    <xf numFmtId="0" fontId="6" fillId="11" borderId="11" xfId="0" applyFont="1" applyFill="1" applyBorder="1" applyAlignment="1">
      <alignment horizontal="left"/>
    </xf>
    <xf numFmtId="0" fontId="6" fillId="11" borderId="9" xfId="0" applyFont="1" applyFill="1" applyBorder="1"/>
    <xf numFmtId="0" fontId="10" fillId="11" borderId="11" xfId="0" applyFont="1" applyFill="1" applyBorder="1" applyAlignment="1">
      <alignment wrapText="1"/>
    </xf>
    <xf numFmtId="0" fontId="14" fillId="11" borderId="9" xfId="0" applyFont="1" applyFill="1" applyBorder="1"/>
    <xf numFmtId="0" fontId="14" fillId="20" borderId="11" xfId="0" applyFont="1" applyFill="1" applyBorder="1" applyAlignment="1">
      <alignment horizontal="center" vertical="center" wrapText="1"/>
    </xf>
    <xf numFmtId="0" fontId="14" fillId="11" borderId="11" xfId="0" applyFont="1" applyFill="1" applyBorder="1" applyAlignment="1">
      <alignment wrapText="1"/>
    </xf>
    <xf numFmtId="0" fontId="24" fillId="11" borderId="11" xfId="0" applyFont="1" applyFill="1" applyBorder="1" applyAlignment="1">
      <alignment wrapText="1"/>
    </xf>
    <xf numFmtId="0" fontId="10" fillId="11" borderId="9" xfId="0" applyFont="1" applyFill="1" applyBorder="1"/>
    <xf numFmtId="0" fontId="6" fillId="2" borderId="11" xfId="0" applyFont="1" applyFill="1" applyBorder="1"/>
    <xf numFmtId="0" fontId="26" fillId="11" borderId="0" xfId="0" applyFont="1" applyFill="1"/>
    <xf numFmtId="0" fontId="13" fillId="0" borderId="14" xfId="0" applyFont="1" applyBorder="1"/>
    <xf numFmtId="0" fontId="14" fillId="11" borderId="14" xfId="0" applyFont="1" applyFill="1" applyBorder="1"/>
    <xf numFmtId="0" fontId="20" fillId="0" borderId="9" xfId="0" applyFont="1" applyBorder="1"/>
    <xf numFmtId="0" fontId="13" fillId="11" borderId="23" xfId="0" applyFont="1" applyFill="1" applyBorder="1"/>
    <xf numFmtId="0" fontId="13" fillId="0" borderId="23" xfId="0" applyFont="1" applyBorder="1"/>
    <xf numFmtId="0" fontId="2" fillId="13" borderId="11" xfId="0" applyFont="1" applyFill="1" applyBorder="1"/>
    <xf numFmtId="16" fontId="2" fillId="14" borderId="11" xfId="0" applyNumberFormat="1" applyFont="1" applyFill="1" applyBorder="1" applyAlignment="1">
      <alignment horizontal="center"/>
    </xf>
    <xf numFmtId="0" fontId="2" fillId="14" borderId="11" xfId="0" applyFont="1" applyFill="1" applyBorder="1"/>
    <xf numFmtId="0" fontId="2" fillId="14" borderId="11" xfId="0" applyFont="1" applyFill="1" applyBorder="1" applyAlignment="1">
      <alignment horizontal="left"/>
    </xf>
    <xf numFmtId="0" fontId="2" fillId="13" borderId="11" xfId="0" applyFont="1" applyFill="1" applyBorder="1" applyAlignment="1">
      <alignment horizontal="right"/>
    </xf>
    <xf numFmtId="0" fontId="2" fillId="18" borderId="11" xfId="0" applyFont="1" applyFill="1" applyBorder="1" applyAlignment="1">
      <alignment horizontal="center"/>
    </xf>
    <xf numFmtId="0" fontId="8" fillId="13" borderId="11" xfId="0" applyFont="1" applyFill="1" applyBorder="1" applyAlignment="1">
      <alignment horizontal="right"/>
    </xf>
    <xf numFmtId="0" fontId="25" fillId="28" borderId="11" xfId="0" applyFont="1" applyFill="1" applyBorder="1" applyAlignment="1">
      <alignment horizontal="center" vertical="center"/>
    </xf>
    <xf numFmtId="49" fontId="6" fillId="21" borderId="11" xfId="0" applyNumberFormat="1" applyFont="1" applyFill="1" applyBorder="1" applyAlignment="1">
      <alignment horizontal="center"/>
    </xf>
    <xf numFmtId="0" fontId="6" fillId="21" borderId="11" xfId="0" applyFont="1" applyFill="1" applyBorder="1" applyAlignment="1">
      <alignment horizontal="center"/>
    </xf>
    <xf numFmtId="0" fontId="10" fillId="24" borderId="11" xfId="0" applyFont="1" applyFill="1" applyBorder="1"/>
    <xf numFmtId="0" fontId="10" fillId="23" borderId="11" xfId="0" applyFont="1" applyFill="1" applyBorder="1"/>
    <xf numFmtId="0" fontId="6" fillId="11" borderId="11" xfId="0" applyFont="1" applyFill="1" applyBorder="1" applyAlignment="1">
      <alignment horizontal="left" wrapText="1"/>
    </xf>
    <xf numFmtId="0" fontId="17" fillId="0" borderId="11" xfId="0" applyFont="1" applyBorder="1" applyAlignment="1">
      <alignment horizontal="left" vertical="center" wrapText="1"/>
    </xf>
    <xf numFmtId="0" fontId="15" fillId="0" borderId="11" xfId="0" applyFont="1" applyBorder="1" applyAlignment="1">
      <alignment horizontal="center"/>
    </xf>
    <xf numFmtId="0" fontId="13" fillId="0" borderId="11" xfId="0" applyFont="1" applyBorder="1" applyAlignment="1">
      <alignment horizontal="right"/>
    </xf>
    <xf numFmtId="0" fontId="27" fillId="11" borderId="0" xfId="0" applyFont="1" applyFill="1"/>
    <xf numFmtId="0" fontId="27" fillId="11" borderId="9" xfId="0" applyFont="1" applyFill="1" applyBorder="1"/>
    <xf numFmtId="0" fontId="28" fillId="11" borderId="0" xfId="0" applyFont="1" applyFill="1"/>
    <xf numFmtId="0" fontId="29" fillId="11" borderId="0" xfId="0" applyFont="1" applyFill="1"/>
    <xf numFmtId="0" fontId="29" fillId="11" borderId="9" xfId="0" applyFont="1" applyFill="1" applyBorder="1"/>
    <xf numFmtId="0" fontId="29" fillId="11" borderId="11" xfId="0" applyFont="1" applyFill="1" applyBorder="1" applyAlignment="1">
      <alignment horizontal="center" vertical="center" wrapText="1"/>
    </xf>
    <xf numFmtId="0" fontId="29" fillId="11" borderId="11" xfId="0" applyFont="1" applyFill="1" applyBorder="1" applyAlignment="1">
      <alignment horizontal="left" vertical="center"/>
    </xf>
    <xf numFmtId="0" fontId="29" fillId="2" borderId="11" xfId="0" applyFont="1" applyFill="1" applyBorder="1" applyAlignment="1">
      <alignment horizontal="left" vertical="center"/>
    </xf>
    <xf numFmtId="0" fontId="29" fillId="20" borderId="11" xfId="0" applyFont="1" applyFill="1" applyBorder="1" applyAlignment="1">
      <alignment horizontal="center" vertical="center" wrapText="1"/>
    </xf>
    <xf numFmtId="0" fontId="27" fillId="11" borderId="0" xfId="0" applyFont="1" applyFill="1" applyAlignment="1">
      <alignment wrapText="1"/>
    </xf>
    <xf numFmtId="0" fontId="29" fillId="11" borderId="11" xfId="0" applyFont="1" applyFill="1" applyBorder="1" applyAlignment="1">
      <alignment horizontal="center" wrapText="1"/>
    </xf>
    <xf numFmtId="0" fontId="29" fillId="11" borderId="11" xfId="0" applyFont="1" applyFill="1" applyBorder="1"/>
    <xf numFmtId="0" fontId="29" fillId="11" borderId="11" xfId="0" applyFont="1" applyFill="1" applyBorder="1" applyAlignment="1">
      <alignment wrapText="1"/>
    </xf>
    <xf numFmtId="0" fontId="28" fillId="11" borderId="9" xfId="0" applyFont="1" applyFill="1" applyBorder="1"/>
    <xf numFmtId="0" fontId="28" fillId="11" borderId="11" xfId="0" applyFont="1" applyFill="1" applyBorder="1"/>
    <xf numFmtId="0" fontId="29" fillId="11" borderId="11" xfId="0" applyFont="1" applyFill="1" applyBorder="1" applyAlignment="1">
      <alignment horizontal="center"/>
    </xf>
    <xf numFmtId="0" fontId="29" fillId="2" borderId="11" xfId="0" applyFont="1" applyFill="1" applyBorder="1"/>
    <xf numFmtId="0" fontId="29" fillId="11" borderId="12" xfId="0" applyFont="1" applyFill="1" applyBorder="1"/>
    <xf numFmtId="0" fontId="28" fillId="11" borderId="14" xfId="0" applyFont="1" applyFill="1" applyBorder="1"/>
    <xf numFmtId="0" fontId="29" fillId="11" borderId="11" xfId="0" applyFont="1" applyFill="1" applyBorder="1" applyAlignment="1">
      <alignment vertical="center"/>
    </xf>
    <xf numFmtId="0" fontId="30" fillId="20" borderId="11" xfId="0" applyFont="1" applyFill="1" applyBorder="1" applyAlignment="1">
      <alignment horizontal="center" vertical="center" wrapText="1"/>
    </xf>
    <xf numFmtId="0" fontId="29" fillId="11" borderId="14" xfId="0" applyFont="1" applyFill="1" applyBorder="1"/>
    <xf numFmtId="0" fontId="6" fillId="21" borderId="9" xfId="0" applyFont="1" applyFill="1" applyBorder="1"/>
    <xf numFmtId="0" fontId="6" fillId="21" borderId="9" xfId="0" applyFont="1" applyFill="1" applyBorder="1" applyAlignment="1">
      <alignment horizontal="left" vertical="center"/>
    </xf>
    <xf numFmtId="0" fontId="2" fillId="2" borderId="9" xfId="0" applyFont="1" applyFill="1" applyBorder="1" applyAlignment="1">
      <alignment horizontal="center"/>
    </xf>
    <xf numFmtId="0" fontId="24" fillId="11" borderId="11" xfId="0" applyFont="1" applyFill="1" applyBorder="1" applyAlignment="1">
      <alignment horizontal="left" vertical="center" wrapText="1"/>
    </xf>
    <xf numFmtId="0" fontId="6" fillId="11" borderId="11" xfId="0" applyFont="1" applyFill="1" applyBorder="1" applyAlignment="1">
      <alignment horizontal="center"/>
    </xf>
    <xf numFmtId="0" fontId="32" fillId="11" borderId="11" xfId="0" applyFont="1" applyFill="1" applyBorder="1" applyAlignment="1">
      <alignment wrapText="1"/>
    </xf>
    <xf numFmtId="0" fontId="24" fillId="11" borderId="11" xfId="0" applyFont="1" applyFill="1" applyBorder="1" applyAlignment="1">
      <alignment horizontal="center" vertical="center" wrapText="1"/>
    </xf>
    <xf numFmtId="0" fontId="10" fillId="11" borderId="11" xfId="0" applyFont="1" applyFill="1" applyBorder="1" applyAlignment="1">
      <alignment horizontal="center" wrapText="1"/>
    </xf>
    <xf numFmtId="0" fontId="6" fillId="11" borderId="0" xfId="0" applyFont="1" applyFill="1" applyAlignment="1">
      <alignment wrapText="1"/>
    </xf>
    <xf numFmtId="0" fontId="14" fillId="11" borderId="11" xfId="0" applyFont="1" applyFill="1" applyBorder="1" applyAlignment="1">
      <alignment horizontal="center" vertical="center" wrapText="1"/>
    </xf>
    <xf numFmtId="0" fontId="6" fillId="11" borderId="11" xfId="0" applyFont="1" applyFill="1" applyBorder="1" applyAlignment="1">
      <alignment horizontal="center" wrapText="1"/>
    </xf>
    <xf numFmtId="0" fontId="14" fillId="11" borderId="12" xfId="0" applyFont="1" applyFill="1" applyBorder="1"/>
    <xf numFmtId="0" fontId="14" fillId="2" borderId="11" xfId="0" applyFont="1" applyFill="1" applyBorder="1" applyAlignment="1">
      <alignment horizontal="left" vertical="center" wrapText="1"/>
    </xf>
    <xf numFmtId="0" fontId="10" fillId="11" borderId="14" xfId="0" applyFont="1" applyFill="1" applyBorder="1"/>
    <xf numFmtId="0" fontId="14" fillId="11" borderId="11" xfId="0" applyFont="1" applyFill="1" applyBorder="1" applyAlignment="1">
      <alignment horizontal="left" vertical="center" wrapText="1"/>
    </xf>
    <xf numFmtId="0" fontId="14" fillId="2" borderId="11" xfId="0" applyFont="1" applyFill="1" applyBorder="1" applyAlignment="1">
      <alignment horizontal="left" vertical="center"/>
    </xf>
    <xf numFmtId="0" fontId="24" fillId="11" borderId="11" xfId="0" applyFont="1" applyFill="1" applyBorder="1" applyAlignment="1">
      <alignment horizontal="center" wrapText="1"/>
    </xf>
    <xf numFmtId="0" fontId="6" fillId="2" borderId="11" xfId="0" applyFont="1" applyFill="1" applyBorder="1" applyAlignment="1">
      <alignment wrapText="1"/>
    </xf>
    <xf numFmtId="0" fontId="14" fillId="2" borderId="11" xfId="0" applyFont="1" applyFill="1" applyBorder="1" applyAlignment="1">
      <alignment wrapText="1"/>
    </xf>
    <xf numFmtId="0" fontId="5" fillId="28" borderId="37" xfId="0" applyFont="1" applyFill="1" applyBorder="1" applyAlignment="1">
      <alignment horizontal="center" vertical="center"/>
    </xf>
    <xf numFmtId="0" fontId="5" fillId="28" borderId="38" xfId="0" applyFont="1" applyFill="1" applyBorder="1" applyAlignment="1">
      <alignment horizontal="center" vertical="center"/>
    </xf>
    <xf numFmtId="49" fontId="6" fillId="2" borderId="40" xfId="0" applyNumberFormat="1" applyFont="1" applyFill="1" applyBorder="1" applyAlignment="1">
      <alignment horizontal="center"/>
    </xf>
    <xf numFmtId="49" fontId="6" fillId="2" borderId="41" xfId="0" applyNumberFormat="1" applyFont="1" applyFill="1" applyBorder="1" applyAlignment="1">
      <alignment horizontal="center"/>
    </xf>
    <xf numFmtId="14" fontId="6" fillId="23" borderId="45" xfId="0" applyNumberFormat="1" applyFont="1" applyFill="1" applyBorder="1" applyAlignment="1">
      <alignment horizontal="center" wrapText="1"/>
    </xf>
    <xf numFmtId="0" fontId="6" fillId="6" borderId="6" xfId="0" applyFont="1" applyFill="1" applyBorder="1" applyAlignment="1">
      <alignment horizontal="center"/>
    </xf>
    <xf numFmtId="49" fontId="2" fillId="2" borderId="13" xfId="0" applyNumberFormat="1" applyFont="1" applyFill="1" applyBorder="1" applyAlignment="1">
      <alignment vertical="center"/>
    </xf>
    <xf numFmtId="0" fontId="2" fillId="0" borderId="12" xfId="0" applyFont="1" applyBorder="1" applyAlignment="1">
      <alignment horizontal="left" vertical="center"/>
    </xf>
    <xf numFmtId="0" fontId="0" fillId="0" borderId="0" xfId="0" applyAlignment="1">
      <alignment horizontal="center"/>
    </xf>
    <xf numFmtId="1" fontId="15" fillId="11" borderId="11" xfId="0" applyNumberFormat="1" applyFont="1" applyFill="1" applyBorder="1" applyAlignment="1">
      <alignment horizontal="center"/>
    </xf>
    <xf numFmtId="0" fontId="14" fillId="11" borderId="9" xfId="0" applyFont="1" applyFill="1" applyBorder="1" applyAlignment="1">
      <alignment horizontal="center" vertical="center"/>
    </xf>
    <xf numFmtId="165" fontId="13" fillId="13" borderId="9" xfId="0" applyNumberFormat="1" applyFont="1" applyFill="1" applyBorder="1" applyAlignment="1">
      <alignment horizontal="center"/>
    </xf>
    <xf numFmtId="0" fontId="15" fillId="13" borderId="9" xfId="0" applyFont="1" applyFill="1" applyBorder="1" applyAlignment="1">
      <alignment horizontal="center"/>
    </xf>
    <xf numFmtId="0" fontId="0" fillId="32" borderId="46" xfId="0" applyFill="1" applyBorder="1" applyAlignment="1">
      <alignment horizontal="center"/>
    </xf>
    <xf numFmtId="0" fontId="0" fillId="32" borderId="47" xfId="0" applyFill="1" applyBorder="1" applyAlignment="1">
      <alignment horizontal="center"/>
    </xf>
    <xf numFmtId="0" fontId="0" fillId="31" borderId="11" xfId="0" applyFill="1" applyBorder="1" applyAlignment="1">
      <alignment horizontal="center" vertical="center"/>
    </xf>
    <xf numFmtId="0" fontId="0" fillId="0" borderId="11" xfId="0" applyBorder="1" applyAlignment="1">
      <alignment horizontal="center"/>
    </xf>
    <xf numFmtId="165" fontId="2" fillId="13" borderId="0" xfId="0" applyNumberFormat="1" applyFont="1" applyFill="1" applyAlignment="1">
      <alignment horizontal="center"/>
    </xf>
    <xf numFmtId="14" fontId="0" fillId="0" borderId="11" xfId="0" applyNumberFormat="1" applyBorder="1" applyAlignment="1">
      <alignment horizontal="center"/>
    </xf>
    <xf numFmtId="166" fontId="2" fillId="13" borderId="11" xfId="0" applyNumberFormat="1" applyFont="1" applyFill="1" applyBorder="1" applyAlignment="1">
      <alignment horizontal="center"/>
    </xf>
    <xf numFmtId="0" fontId="33" fillId="0" borderId="0" xfId="1"/>
    <xf numFmtId="0" fontId="2" fillId="34" borderId="11" xfId="0" applyFont="1" applyFill="1" applyBorder="1" applyAlignment="1">
      <alignment horizontal="center"/>
    </xf>
    <xf numFmtId="14" fontId="0" fillId="9" borderId="11" xfId="0" applyNumberFormat="1" applyFill="1" applyBorder="1" applyAlignment="1">
      <alignment horizontal="center"/>
    </xf>
    <xf numFmtId="0" fontId="35" fillId="11" borderId="11" xfId="0" applyFont="1" applyFill="1" applyBorder="1"/>
    <xf numFmtId="0" fontId="36" fillId="11" borderId="11" xfId="0" applyFont="1" applyFill="1" applyBorder="1" applyAlignment="1">
      <alignment horizontal="right"/>
    </xf>
    <xf numFmtId="14" fontId="6" fillId="35" borderId="6" xfId="0" applyNumberFormat="1" applyFont="1" applyFill="1" applyBorder="1" applyAlignment="1">
      <alignment horizontal="center"/>
    </xf>
    <xf numFmtId="0" fontId="5" fillId="27" borderId="48" xfId="0" applyFont="1" applyFill="1" applyBorder="1" applyAlignment="1">
      <alignment horizontal="center" vertical="center"/>
    </xf>
    <xf numFmtId="0" fontId="5" fillId="28" borderId="49" xfId="0" applyFont="1" applyFill="1" applyBorder="1" applyAlignment="1">
      <alignment horizontal="center" vertical="center"/>
    </xf>
    <xf numFmtId="49" fontId="6" fillId="2" borderId="50" xfId="0" applyNumberFormat="1" applyFont="1" applyFill="1" applyBorder="1" applyAlignment="1">
      <alignment horizontal="center"/>
    </xf>
    <xf numFmtId="49" fontId="6" fillId="29" borderId="51" xfId="0" applyNumberFormat="1" applyFont="1" applyFill="1" applyBorder="1" applyAlignment="1">
      <alignment horizontal="center"/>
    </xf>
    <xf numFmtId="4" fontId="6" fillId="6" borderId="6" xfId="0" applyNumberFormat="1" applyFont="1" applyFill="1" applyBorder="1" applyAlignment="1">
      <alignment horizontal="center"/>
    </xf>
    <xf numFmtId="0" fontId="14" fillId="6" borderId="10" xfId="0" applyFont="1" applyFill="1" applyBorder="1" applyAlignment="1">
      <alignment horizontal="left" vertical="center" wrapText="1"/>
    </xf>
    <xf numFmtId="0" fontId="14" fillId="0" borderId="7" xfId="0" applyFont="1" applyBorder="1" applyAlignment="1">
      <alignment horizontal="left" vertical="center" wrapText="1"/>
    </xf>
    <xf numFmtId="0" fontId="17" fillId="2" borderId="9" xfId="0" applyFont="1" applyFill="1" applyBorder="1"/>
    <xf numFmtId="165" fontId="13" fillId="0" borderId="11" xfId="0" applyNumberFormat="1" applyFont="1" applyBorder="1"/>
    <xf numFmtId="0" fontId="7" fillId="8" borderId="18"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14" fillId="0" borderId="53" xfId="0" applyFont="1" applyBorder="1" applyAlignment="1">
      <alignment vertical="center" wrapText="1"/>
    </xf>
    <xf numFmtId="0" fontId="14" fillId="6" borderId="54" xfId="0" applyFont="1" applyFill="1" applyBorder="1" applyAlignment="1">
      <alignment horizontal="left" vertical="center" wrapText="1"/>
    </xf>
    <xf numFmtId="0" fontId="7" fillId="8" borderId="3" xfId="0" applyFont="1" applyFill="1" applyBorder="1" applyAlignment="1">
      <alignment horizontal="center" vertical="center" wrapText="1"/>
    </xf>
    <xf numFmtId="0" fontId="6" fillId="0" borderId="55" xfId="0" applyFont="1" applyBorder="1" applyAlignment="1">
      <alignment horizontal="left" vertical="center" wrapText="1"/>
    </xf>
    <xf numFmtId="0" fontId="6" fillId="6" borderId="54" xfId="0" applyFont="1" applyFill="1" applyBorder="1" applyAlignment="1">
      <alignment horizontal="left" vertical="center" wrapText="1"/>
    </xf>
    <xf numFmtId="0" fontId="2" fillId="37" borderId="56" xfId="0" applyFont="1" applyFill="1" applyBorder="1" applyAlignment="1">
      <alignment horizontal="center" vertical="center" wrapText="1"/>
    </xf>
    <xf numFmtId="0" fontId="2" fillId="36" borderId="57" xfId="0" applyFont="1" applyFill="1" applyBorder="1" applyAlignment="1">
      <alignment horizontal="center" vertical="center" wrapText="1"/>
    </xf>
    <xf numFmtId="0" fontId="14" fillId="6" borderId="58" xfId="0" applyFont="1" applyFill="1" applyBorder="1" applyAlignment="1">
      <alignment vertical="center" wrapText="1"/>
    </xf>
    <xf numFmtId="0" fontId="2" fillId="36" borderId="59" xfId="0" applyFont="1" applyFill="1" applyBorder="1" applyAlignment="1">
      <alignment horizontal="center" vertical="center" wrapText="1"/>
    </xf>
    <xf numFmtId="0" fontId="6" fillId="6" borderId="10" xfId="0" applyFont="1" applyFill="1" applyBorder="1" applyAlignment="1">
      <alignment horizontal="left" vertical="center" wrapText="1"/>
    </xf>
    <xf numFmtId="0" fontId="6" fillId="6" borderId="25" xfId="0" applyFont="1" applyFill="1" applyBorder="1" applyAlignment="1">
      <alignment horizontal="left" vertical="center" wrapText="1"/>
    </xf>
    <xf numFmtId="0" fontId="6" fillId="6" borderId="8" xfId="0" applyFont="1" applyFill="1" applyBorder="1" applyAlignment="1">
      <alignment horizontal="left" vertical="center" wrapText="1"/>
    </xf>
    <xf numFmtId="0" fontId="13" fillId="11" borderId="11" xfId="0" applyFont="1" applyFill="1" applyBorder="1" applyAlignment="1">
      <alignment horizontal="center"/>
    </xf>
    <xf numFmtId="0" fontId="6" fillId="11" borderId="11" xfId="0" applyFont="1" applyFill="1" applyBorder="1" applyAlignment="1">
      <alignment horizontal="left" vertical="center" wrapText="1"/>
    </xf>
    <xf numFmtId="0" fontId="7" fillId="8" borderId="11" xfId="0" applyFont="1" applyFill="1" applyBorder="1" applyAlignment="1">
      <alignment horizontal="center" vertical="center" wrapText="1"/>
    </xf>
    <xf numFmtId="0" fontId="2" fillId="14" borderId="11" xfId="0" applyFont="1" applyFill="1" applyBorder="1" applyAlignment="1">
      <alignment horizontal="center"/>
    </xf>
    <xf numFmtId="0" fontId="0" fillId="31" borderId="23" xfId="0" applyFill="1" applyBorder="1" applyAlignment="1">
      <alignment horizontal="center" vertical="center"/>
    </xf>
    <xf numFmtId="0" fontId="0" fillId="31" borderId="24" xfId="0" applyFill="1" applyBorder="1" applyAlignment="1">
      <alignment horizontal="center" vertical="center"/>
    </xf>
    <xf numFmtId="0" fontId="31" fillId="3" borderId="9" xfId="0" applyFont="1" applyFill="1" applyBorder="1" applyAlignment="1">
      <alignment horizontal="center" vertical="center"/>
    </xf>
    <xf numFmtId="0" fontId="4" fillId="3" borderId="9" xfId="0" applyFont="1" applyFill="1" applyBorder="1" applyAlignment="1">
      <alignment vertical="center"/>
    </xf>
    <xf numFmtId="0" fontId="6" fillId="21" borderId="9" xfId="0" applyFont="1" applyFill="1" applyBorder="1" applyAlignment="1">
      <alignment horizontal="center"/>
    </xf>
    <xf numFmtId="0" fontId="1" fillId="0" borderId="0" xfId="0" applyFont="1"/>
    <xf numFmtId="0" fontId="2" fillId="2" borderId="9" xfId="0" applyFont="1" applyFill="1" applyBorder="1" applyAlignment="1">
      <alignment horizontal="left" vertical="center"/>
    </xf>
    <xf numFmtId="0" fontId="1" fillId="24" borderId="11" xfId="0" applyFont="1" applyFill="1" applyBorder="1"/>
    <xf numFmtId="0" fontId="1" fillId="0" borderId="11" xfId="0" applyFont="1" applyBorder="1"/>
    <xf numFmtId="0" fontId="1" fillId="2" borderId="0" xfId="0" applyFont="1" applyFill="1"/>
    <xf numFmtId="0" fontId="1" fillId="6" borderId="0" xfId="0" applyFont="1" applyFill="1"/>
    <xf numFmtId="0" fontId="1" fillId="22" borderId="0" xfId="0" applyFont="1" applyFill="1"/>
    <xf numFmtId="0" fontId="33" fillId="2" borderId="13" xfId="1" applyFill="1" applyBorder="1" applyAlignment="1">
      <alignment horizontal="center" vertical="center"/>
    </xf>
    <xf numFmtId="0" fontId="33" fillId="2" borderId="14" xfId="1" applyFill="1" applyBorder="1" applyAlignment="1">
      <alignment horizontal="center" vertical="center"/>
    </xf>
    <xf numFmtId="0" fontId="6" fillId="6" borderId="10" xfId="0" applyFont="1" applyFill="1" applyBorder="1" applyAlignment="1">
      <alignment horizontal="left" vertical="center" wrapText="1"/>
    </xf>
    <xf numFmtId="0" fontId="6" fillId="6" borderId="25" xfId="0" applyFont="1" applyFill="1" applyBorder="1" applyAlignment="1">
      <alignment horizontal="left" vertical="center" wrapText="1"/>
    </xf>
    <xf numFmtId="0" fontId="6" fillId="6" borderId="8" xfId="0" applyFont="1" applyFill="1" applyBorder="1" applyAlignment="1">
      <alignment horizontal="left" vertical="center" wrapText="1"/>
    </xf>
    <xf numFmtId="0" fontId="6" fillId="0" borderId="7" xfId="0" applyFont="1" applyBorder="1" applyAlignment="1">
      <alignment horizontal="left" vertical="center"/>
    </xf>
    <xf numFmtId="0" fontId="6" fillId="0" borderId="26" xfId="0" applyFont="1" applyBorder="1" applyAlignment="1">
      <alignment horizontal="left" vertical="center"/>
    </xf>
    <xf numFmtId="0" fontId="6" fillId="0" borderId="27" xfId="0" applyFont="1" applyBorder="1" applyAlignment="1">
      <alignment horizontal="left" vertical="center"/>
    </xf>
    <xf numFmtId="0" fontId="10" fillId="9" borderId="12" xfId="0" applyFont="1" applyFill="1" applyBorder="1" applyAlignment="1">
      <alignment horizontal="center" vertical="center"/>
    </xf>
    <xf numFmtId="0" fontId="10" fillId="9" borderId="13" xfId="0" applyFont="1" applyFill="1" applyBorder="1" applyAlignment="1">
      <alignment horizontal="center" vertical="center"/>
    </xf>
    <xf numFmtId="0" fontId="10" fillId="9" borderId="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9" borderId="11"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13" xfId="0" applyFont="1" applyFill="1" applyBorder="1" applyAlignment="1">
      <alignment horizontal="center" vertical="center"/>
    </xf>
    <xf numFmtId="0" fontId="2" fillId="9" borderId="14" xfId="0" applyFont="1" applyFill="1" applyBorder="1" applyAlignment="1">
      <alignment horizontal="center" vertical="center"/>
    </xf>
    <xf numFmtId="0" fontId="6" fillId="0" borderId="7"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6" borderId="10" xfId="0" applyFont="1" applyFill="1" applyBorder="1" applyAlignment="1">
      <alignment horizontal="justify" vertical="center" wrapText="1"/>
    </xf>
    <xf numFmtId="0" fontId="6" fillId="6" borderId="25" xfId="0" applyFont="1" applyFill="1" applyBorder="1" applyAlignment="1">
      <alignment horizontal="justify" vertical="center" wrapText="1"/>
    </xf>
    <xf numFmtId="0" fontId="6" fillId="6" borderId="8" xfId="0" applyFont="1" applyFill="1" applyBorder="1" applyAlignment="1">
      <alignment horizontal="justify" vertical="center" wrapText="1"/>
    </xf>
    <xf numFmtId="0" fontId="6" fillId="0" borderId="7" xfId="0" applyFont="1" applyBorder="1" applyAlignment="1">
      <alignment horizontal="justify" vertical="center" wrapText="1"/>
    </xf>
    <xf numFmtId="0" fontId="6" fillId="0" borderId="26" xfId="0" applyFont="1" applyBorder="1" applyAlignment="1">
      <alignment horizontal="justify" vertical="center" wrapText="1"/>
    </xf>
    <xf numFmtId="0" fontId="6" fillId="0" borderId="27" xfId="0" applyFont="1" applyBorder="1" applyAlignment="1">
      <alignment horizontal="justify" vertical="center" wrapText="1"/>
    </xf>
    <xf numFmtId="0" fontId="6" fillId="6" borderId="10"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6" fillId="6" borderId="52" xfId="0" applyFont="1" applyFill="1" applyBorder="1" applyAlignment="1">
      <alignment horizontal="center" vertical="center" wrapText="1"/>
    </xf>
    <xf numFmtId="0" fontId="2" fillId="6" borderId="34" xfId="0" applyFont="1" applyFill="1" applyBorder="1" applyAlignment="1">
      <alignment horizontal="center" vertical="center"/>
    </xf>
    <xf numFmtId="0" fontId="6" fillId="0" borderId="35" xfId="0" applyFont="1" applyBorder="1" applyAlignment="1"/>
    <xf numFmtId="0" fontId="6" fillId="23" borderId="42" xfId="0" applyFont="1" applyFill="1" applyBorder="1" applyAlignment="1">
      <alignment horizontal="justify" vertical="center" wrapText="1"/>
    </xf>
    <xf numFmtId="0" fontId="6" fillId="23" borderId="43" xfId="0" applyFont="1" applyFill="1" applyBorder="1" applyAlignment="1">
      <alignment horizontal="justify" vertical="center" wrapText="1"/>
    </xf>
    <xf numFmtId="0" fontId="6" fillId="23" borderId="44" xfId="0" applyFont="1" applyFill="1" applyBorder="1" applyAlignment="1">
      <alignment horizontal="justify" vertical="center" wrapText="1"/>
    </xf>
    <xf numFmtId="0" fontId="6" fillId="11" borderId="36" xfId="0" applyFont="1" applyFill="1" applyBorder="1" applyAlignment="1">
      <alignment horizontal="left" vertical="center" wrapText="1"/>
    </xf>
    <xf numFmtId="0" fontId="6" fillId="11" borderId="39" xfId="0" applyFont="1" applyFill="1" applyBorder="1" applyAlignment="1">
      <alignment horizontal="left" vertical="center" wrapText="1"/>
    </xf>
    <xf numFmtId="0" fontId="6" fillId="15" borderId="28" xfId="0" applyFont="1" applyFill="1" applyBorder="1" applyAlignment="1">
      <alignment horizontal="left" vertical="center" wrapText="1"/>
    </xf>
    <xf numFmtId="0" fontId="6" fillId="15" borderId="29" xfId="0" applyFont="1" applyFill="1" applyBorder="1" applyAlignment="1">
      <alignment horizontal="left" vertical="center" wrapText="1"/>
    </xf>
    <xf numFmtId="0" fontId="6" fillId="0" borderId="7" xfId="0" applyFont="1" applyBorder="1" applyAlignment="1">
      <alignment vertical="center"/>
    </xf>
    <xf numFmtId="0" fontId="6" fillId="0" borderId="26" xfId="0" applyFont="1" applyBorder="1" applyAlignment="1">
      <alignment vertical="center"/>
    </xf>
    <xf numFmtId="0" fontId="6" fillId="0" borderId="27" xfId="0" applyFont="1" applyBorder="1" applyAlignment="1">
      <alignment vertical="center"/>
    </xf>
    <xf numFmtId="0" fontId="13" fillId="11" borderId="11" xfId="0" applyFont="1" applyFill="1" applyBorder="1" applyAlignment="1">
      <alignment horizontal="center"/>
    </xf>
    <xf numFmtId="0" fontId="6" fillId="11" borderId="11" xfId="0" applyFont="1" applyFill="1" applyBorder="1" applyAlignment="1">
      <alignment horizontal="left" vertical="center" wrapText="1"/>
    </xf>
    <xf numFmtId="0" fontId="14" fillId="11" borderId="12" xfId="0" applyFont="1" applyFill="1" applyBorder="1" applyAlignment="1">
      <alignment horizontal="center" vertical="center"/>
    </xf>
    <xf numFmtId="0" fontId="14" fillId="11" borderId="13" xfId="0" applyFont="1" applyFill="1" applyBorder="1" applyAlignment="1">
      <alignment horizontal="center" vertical="center"/>
    </xf>
    <xf numFmtId="0" fontId="14" fillId="11" borderId="14" xfId="0" applyFont="1" applyFill="1" applyBorder="1" applyAlignment="1">
      <alignment horizontal="center" vertical="center"/>
    </xf>
    <xf numFmtId="0" fontId="6" fillId="2" borderId="11"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2" fillId="6" borderId="11" xfId="0" applyFont="1" applyFill="1" applyBorder="1" applyAlignment="1">
      <alignment horizontal="center" vertical="center"/>
    </xf>
    <xf numFmtId="0" fontId="6" fillId="0" borderId="11" xfId="0" applyFont="1" applyBorder="1" applyAlignment="1">
      <alignment horizontal="left" vertical="center" wrapText="1"/>
    </xf>
    <xf numFmtId="0" fontId="3" fillId="7" borderId="2" xfId="0" applyFont="1" applyFill="1" applyBorder="1" applyAlignment="1">
      <alignment horizontal="center" vertical="center"/>
    </xf>
    <xf numFmtId="0" fontId="6" fillId="0" borderId="17" xfId="0" applyFont="1" applyBorder="1" applyAlignment="1">
      <alignment horizontal="center" vertical="center"/>
    </xf>
    <xf numFmtId="0" fontId="3" fillId="12" borderId="9"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4" fillId="2" borderId="13" xfId="1" applyFont="1" applyFill="1" applyBorder="1" applyAlignment="1">
      <alignment horizontal="center" vertical="center"/>
    </xf>
    <xf numFmtId="0" fontId="34" fillId="2" borderId="14" xfId="1" applyFont="1" applyFill="1" applyBorder="1" applyAlignment="1">
      <alignment horizontal="center" vertical="center"/>
    </xf>
    <xf numFmtId="0" fontId="7" fillId="8" borderId="11" xfId="0" applyFont="1" applyFill="1" applyBorder="1" applyAlignment="1">
      <alignment horizontal="center" vertical="center" wrapText="1"/>
    </xf>
    <xf numFmtId="0" fontId="1" fillId="30" borderId="12" xfId="0" applyFont="1" applyFill="1" applyBorder="1" applyAlignment="1">
      <alignment horizontal="center"/>
    </xf>
    <xf numFmtId="0" fontId="0" fillId="30" borderId="13" xfId="0" applyFill="1" applyBorder="1" applyAlignment="1">
      <alignment horizontal="center"/>
    </xf>
    <xf numFmtId="0" fontId="0" fillId="30" borderId="14" xfId="0" applyFill="1" applyBorder="1" applyAlignment="1">
      <alignment horizontal="center"/>
    </xf>
    <xf numFmtId="0" fontId="0" fillId="31" borderId="23" xfId="0" applyFill="1" applyBorder="1" applyAlignment="1">
      <alignment horizontal="center" vertical="center"/>
    </xf>
    <xf numFmtId="0" fontId="0" fillId="31" borderId="24" xfId="0" applyFill="1" applyBorder="1" applyAlignment="1">
      <alignment horizontal="center" vertical="center"/>
    </xf>
    <xf numFmtId="168" fontId="14" fillId="9" borderId="12" xfId="0" applyNumberFormat="1" applyFont="1" applyFill="1" applyBorder="1" applyAlignment="1">
      <alignment horizontal="center" vertical="center"/>
    </xf>
    <xf numFmtId="168" fontId="14" fillId="9" borderId="13" xfId="0" applyNumberFormat="1" applyFont="1" applyFill="1" applyBorder="1" applyAlignment="1">
      <alignment horizontal="center" vertical="center"/>
    </xf>
    <xf numFmtId="168" fontId="14" fillId="9" borderId="14" xfId="0" applyNumberFormat="1" applyFont="1" applyFill="1" applyBorder="1" applyAlignment="1">
      <alignment horizontal="center" vertical="center"/>
    </xf>
    <xf numFmtId="169" fontId="13" fillId="33" borderId="11" xfId="0" applyNumberFormat="1" applyFont="1" applyFill="1" applyBorder="1" applyAlignment="1">
      <alignment horizontal="center"/>
    </xf>
    <xf numFmtId="0" fontId="1" fillId="30" borderId="46" xfId="0" applyFont="1" applyFill="1" applyBorder="1" applyAlignment="1">
      <alignment horizontal="center"/>
    </xf>
    <xf numFmtId="0" fontId="0" fillId="30" borderId="0" xfId="0" applyFill="1" applyAlignment="1">
      <alignment horizontal="center"/>
    </xf>
    <xf numFmtId="0" fontId="0" fillId="31" borderId="12" xfId="0" applyFill="1" applyBorder="1" applyAlignment="1">
      <alignment horizontal="center" vertical="center"/>
    </xf>
    <xf numFmtId="0" fontId="0" fillId="31" borderId="13" xfId="0" applyFill="1" applyBorder="1" applyAlignment="1">
      <alignment horizontal="center" vertical="center"/>
    </xf>
    <xf numFmtId="0" fontId="0" fillId="31" borderId="14" xfId="0" applyFill="1" applyBorder="1" applyAlignment="1">
      <alignment horizontal="center" vertical="center"/>
    </xf>
    <xf numFmtId="165" fontId="15" fillId="33" borderId="11" xfId="0" applyNumberFormat="1" applyFont="1" applyFill="1" applyBorder="1" applyAlignment="1">
      <alignment horizontal="center"/>
    </xf>
    <xf numFmtId="0" fontId="1" fillId="30" borderId="9" xfId="0" applyFont="1" applyFill="1" applyBorder="1" applyAlignment="1">
      <alignment horizontal="center"/>
    </xf>
    <xf numFmtId="0" fontId="2" fillId="14" borderId="11" xfId="0" applyFont="1" applyFill="1" applyBorder="1" applyAlignment="1">
      <alignment horizontal="center"/>
    </xf>
    <xf numFmtId="165" fontId="13" fillId="33" borderId="11" xfId="0" applyNumberFormat="1" applyFont="1" applyFill="1" applyBorder="1" applyAlignment="1">
      <alignment horizontal="center"/>
    </xf>
  </cellXfs>
  <cellStyles count="2">
    <cellStyle name="Hiperlink" xfId="1" builtinId="8"/>
    <cellStyle name="Normal" xfId="0" builtinId="0"/>
  </cellStyles>
  <dxfs count="97">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s>
  <tableStyles count="7" defaultTableStyle="TableStyleMedium2" defaultPivotStyle="PivotStyleLight16">
    <tableStyle name="Valid_dados-style" pivot="0" count="3" xr9:uid="{00000000-0011-0000-FFFF-FFFF00000000}">
      <tableStyleElement type="headerRow" dxfId="96"/>
      <tableStyleElement type="firstRowStripe" dxfId="95"/>
      <tableStyleElement type="secondRowStripe" dxfId="94"/>
    </tableStyle>
    <tableStyle name="Valid_dados-style 2" pivot="0" count="3" xr9:uid="{00000000-0011-0000-FFFF-FFFF01000000}">
      <tableStyleElement type="headerRow" dxfId="93"/>
      <tableStyleElement type="firstRowStripe" dxfId="92"/>
      <tableStyleElement type="secondRowStripe" dxfId="91"/>
    </tableStyle>
    <tableStyle name="Valid_dados-style 3" pivot="0" count="3" xr9:uid="{00000000-0011-0000-FFFF-FFFF02000000}">
      <tableStyleElement type="headerRow" dxfId="90"/>
      <tableStyleElement type="firstRowStripe" dxfId="89"/>
      <tableStyleElement type="secondRowStripe" dxfId="88"/>
    </tableStyle>
    <tableStyle name="Valid_dados-style 4" pivot="0" count="3" xr9:uid="{00000000-0011-0000-FFFF-FFFF03000000}">
      <tableStyleElement type="headerRow" dxfId="87"/>
      <tableStyleElement type="firstRowStripe" dxfId="86"/>
      <tableStyleElement type="secondRowStripe" dxfId="85"/>
    </tableStyle>
    <tableStyle name="Valid_dados-style 5" pivot="0" count="3" xr9:uid="{00000000-0011-0000-FFFF-FFFF04000000}">
      <tableStyleElement type="headerRow" dxfId="84"/>
      <tableStyleElement type="firstRowStripe" dxfId="83"/>
      <tableStyleElement type="secondRowStripe" dxfId="82"/>
    </tableStyle>
    <tableStyle name="Valid_dados-style 6" pivot="0" count="3" xr9:uid="{00000000-0011-0000-FFFF-FFFF05000000}">
      <tableStyleElement type="headerRow" dxfId="81"/>
      <tableStyleElement type="firstRowStripe" dxfId="80"/>
      <tableStyleElement type="secondRowStripe" dxfId="79"/>
    </tableStyle>
    <tableStyle name="Valid_dados-style 7" pivot="0" count="3" xr9:uid="{00000000-0011-0000-FFFF-FFFF06000000}">
      <tableStyleElement type="headerRow" dxfId="78"/>
      <tableStyleElement type="firstRowStripe" dxfId="77"/>
      <tableStyleElement type="secondRowStripe" dxfId="76"/>
    </tableStyle>
  </tableStyles>
  <colors>
    <mruColors>
      <color rgb="FFFF5050"/>
      <color rgb="FFE6E6E6"/>
      <color rgb="FFECECEC"/>
      <color rgb="FFE8E8E8"/>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5258190</xdr:colOff>
      <xdr:row>1</xdr:row>
      <xdr:rowOff>29159</xdr:rowOff>
    </xdr:from>
    <xdr:to>
      <xdr:col>1</xdr:col>
      <xdr:colOff>5520612</xdr:colOff>
      <xdr:row>1</xdr:row>
      <xdr:rowOff>291581</xdr:rowOff>
    </xdr:to>
    <xdr:pic>
      <xdr:nvPicPr>
        <xdr:cNvPr id="4" name="Imagem 3">
          <a:extLst>
            <a:ext uri="{FF2B5EF4-FFF2-40B4-BE49-F238E27FC236}">
              <a16:creationId xmlns:a16="http://schemas.microsoft.com/office/drawing/2014/main" id="{F2CE6970-C897-06E2-513A-3F6308B85B74}"/>
            </a:ext>
          </a:extLst>
        </xdr:cNvPr>
        <xdr:cNvPicPr>
          <a:picLocks noChangeAspect="1"/>
        </xdr:cNvPicPr>
      </xdr:nvPicPr>
      <xdr:blipFill>
        <a:blip xmlns:r="http://schemas.openxmlformats.org/officeDocument/2006/relationships" r:embed="rId1"/>
        <a:stretch>
          <a:fillRect/>
        </a:stretch>
      </xdr:blipFill>
      <xdr:spPr>
        <a:xfrm>
          <a:off x="5355384" y="369338"/>
          <a:ext cx="262422" cy="262422"/>
        </a:xfrm>
        <a:prstGeom prst="rect">
          <a:avLst/>
        </a:prstGeom>
      </xdr:spPr>
    </xdr:pic>
    <xdr:clientData/>
  </xdr:twoCellAnchor>
  <xdr:twoCellAnchor editAs="oneCell">
    <xdr:from>
      <xdr:col>2</xdr:col>
      <xdr:colOff>976603</xdr:colOff>
      <xdr:row>1</xdr:row>
      <xdr:rowOff>33823</xdr:rowOff>
    </xdr:from>
    <xdr:to>
      <xdr:col>3</xdr:col>
      <xdr:colOff>291582</xdr:colOff>
      <xdr:row>1</xdr:row>
      <xdr:rowOff>340179</xdr:rowOff>
    </xdr:to>
    <xdr:pic>
      <xdr:nvPicPr>
        <xdr:cNvPr id="7" name="Imagem 6">
          <a:extLst>
            <a:ext uri="{FF2B5EF4-FFF2-40B4-BE49-F238E27FC236}">
              <a16:creationId xmlns:a16="http://schemas.microsoft.com/office/drawing/2014/main" id="{BB724A0E-637B-DB8D-7816-917754FC9509}"/>
            </a:ext>
          </a:extLst>
        </xdr:cNvPr>
        <xdr:cNvPicPr>
          <a:picLocks noChangeAspect="1"/>
        </xdr:cNvPicPr>
      </xdr:nvPicPr>
      <xdr:blipFill>
        <a:blip xmlns:r="http://schemas.openxmlformats.org/officeDocument/2006/relationships" r:embed="rId2"/>
        <a:stretch>
          <a:fillRect/>
        </a:stretch>
      </xdr:blipFill>
      <xdr:spPr>
        <a:xfrm>
          <a:off x="6604129" y="374002"/>
          <a:ext cx="306356" cy="3063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7248525</xdr:colOff>
      <xdr:row>3</xdr:row>
      <xdr:rowOff>12347</xdr:rowOff>
    </xdr:from>
    <xdr:to>
      <xdr:col>2</xdr:col>
      <xdr:colOff>7467600</xdr:colOff>
      <xdr:row>4</xdr:row>
      <xdr:rowOff>9525</xdr:rowOff>
    </xdr:to>
    <xdr:pic>
      <xdr:nvPicPr>
        <xdr:cNvPr id="2" name="Imagem 1">
          <a:extLst>
            <a:ext uri="{FF2B5EF4-FFF2-40B4-BE49-F238E27FC236}">
              <a16:creationId xmlns:a16="http://schemas.microsoft.com/office/drawing/2014/main" id="{C96EC309-92E7-4989-31AB-0A299A66B684}"/>
            </a:ext>
          </a:extLst>
        </xdr:cNvPr>
        <xdr:cNvPicPr>
          <a:picLocks noChangeAspect="1"/>
        </xdr:cNvPicPr>
      </xdr:nvPicPr>
      <xdr:blipFill>
        <a:blip xmlns:r="http://schemas.openxmlformats.org/officeDocument/2006/relationships" r:embed="rId1"/>
        <a:stretch>
          <a:fillRect/>
        </a:stretch>
      </xdr:blipFill>
      <xdr:spPr>
        <a:xfrm>
          <a:off x="7372350" y="317147"/>
          <a:ext cx="219075" cy="235303"/>
        </a:xfrm>
        <a:prstGeom prst="rect">
          <a:avLst/>
        </a:prstGeom>
      </xdr:spPr>
    </xdr:pic>
    <xdr:clientData/>
  </xdr:twoCellAnchor>
  <xdr:twoCellAnchor editAs="oneCell">
    <xdr:from>
      <xdr:col>3</xdr:col>
      <xdr:colOff>1314959</xdr:colOff>
      <xdr:row>3</xdr:row>
      <xdr:rowOff>5556</xdr:rowOff>
    </xdr:from>
    <xdr:to>
      <xdr:col>3</xdr:col>
      <xdr:colOff>1535206</xdr:colOff>
      <xdr:row>3</xdr:row>
      <xdr:rowOff>224344</xdr:rowOff>
    </xdr:to>
    <xdr:pic>
      <xdr:nvPicPr>
        <xdr:cNvPr id="4" name="Imagem 3">
          <a:extLst>
            <a:ext uri="{FF2B5EF4-FFF2-40B4-BE49-F238E27FC236}">
              <a16:creationId xmlns:a16="http://schemas.microsoft.com/office/drawing/2014/main" id="{46C6B6BD-4874-4650-9BC2-5473D82AD2FC}"/>
            </a:ext>
          </a:extLst>
        </xdr:cNvPr>
        <xdr:cNvPicPr>
          <a:picLocks noChangeAspect="1"/>
        </xdr:cNvPicPr>
      </xdr:nvPicPr>
      <xdr:blipFill>
        <a:blip xmlns:r="http://schemas.openxmlformats.org/officeDocument/2006/relationships" r:embed="rId2"/>
        <a:stretch>
          <a:fillRect/>
        </a:stretch>
      </xdr:blipFill>
      <xdr:spPr>
        <a:xfrm>
          <a:off x="8934959" y="308115"/>
          <a:ext cx="220247" cy="21878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02">
  <tableColumns count="1">
    <tableColumn id="1" xr3:uid="{00000000-0010-0000-0000-000001000000}" name="Anos"/>
  </tableColumns>
  <tableStyleInfo name="Valid_dad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13">
  <tableColumns count="1">
    <tableColumn id="1" xr3:uid="{00000000-0010-0000-0100-000001000000}" name="Meses "/>
  </tableColumns>
  <tableStyleInfo name="Valid_dado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E1:E32">
  <tableColumns count="1">
    <tableColumn id="1" xr3:uid="{00000000-0010-0000-0200-000001000000}" name="Dias"/>
  </tableColumns>
  <tableStyleInfo name="Valid_dado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H1:H3">
  <tableColumns count="1">
    <tableColumn id="1" xr3:uid="{00000000-0010-0000-0300-000001000000}" name="S/N"/>
  </tableColumns>
  <tableStyleInfo name="Valid_dado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J1:J3">
  <tableColumns count="1">
    <tableColumn id="1" xr3:uid="{00000000-0010-0000-0400-000001000000}" name="SEXO"/>
  </tableColumns>
  <tableStyleInfo name="Valid_dado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L1:L4">
  <tableColumns count="1">
    <tableColumn id="1" xr3:uid="{00000000-0010-0000-0500-000001000000}" name="S/N/NA"/>
  </tableColumns>
  <tableStyleInfo name="Valid_dado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N1:N4">
  <tableColumns count="1">
    <tableColumn id="1" xr3:uid="{00000000-0010-0000-0600-000001000000}" name="F/AS/A"/>
  </tableColumns>
  <tableStyleInfo name="Valid_dado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920025-3FBE-4CFE-8D2C-343899A68976}" name="Table_69" displayName="Table_69" ref="P1:P5">
  <tableColumns count="1">
    <tableColumn id="1" xr3:uid="{A1EEF44A-F421-4446-B033-66895B56AFC0}" name="TEMPO egressa"/>
  </tableColumns>
  <tableStyleInfo name="Valid_dados-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5B97EE-1C4E-4582-98B5-C53DB54E526E}" name="Table_6910" displayName="Table_6910" ref="R1:R5">
  <tableColumns count="1">
    <tableColumn id="1" xr3:uid="{5B6FB7B1-492E-44E2-8701-FBEAF2AD3024}" name="TEMPO monitoração"/>
  </tableColumns>
  <tableStyleInfo name="Valid_dados-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psdapena.com.b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gpsdapena.com.br/"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F124"/>
  <sheetViews>
    <sheetView showGridLines="0" showRowColHeaders="0" tabSelected="1" topLeftCell="A4" zoomScale="98" zoomScaleNormal="98" zoomScaleSheetLayoutView="96" workbookViewId="0">
      <selection activeCell="D9" sqref="D9"/>
    </sheetView>
  </sheetViews>
  <sheetFormatPr defaultColWidth="20.140625" defaultRowHeight="0" customHeight="1" zeroHeight="1"/>
  <cols>
    <col min="1" max="1" width="1.42578125" customWidth="1"/>
    <col min="2" max="2" width="83" customWidth="1"/>
    <col min="3" max="3" width="14.85546875" customWidth="1"/>
    <col min="4" max="4" width="13" style="50" customWidth="1"/>
    <col min="5" max="5" width="21.140625" style="50" customWidth="1"/>
  </cols>
  <sheetData>
    <row r="1" spans="1:5" ht="27" customHeight="1">
      <c r="A1" s="18"/>
      <c r="B1" s="229" t="s">
        <v>0</v>
      </c>
      <c r="C1" s="230"/>
      <c r="D1" s="230"/>
      <c r="E1" s="230"/>
    </row>
    <row r="2" spans="1:5" ht="27.75" customHeight="1">
      <c r="A2" s="18"/>
      <c r="B2" s="181" t="s">
        <v>1</v>
      </c>
      <c r="C2" s="180" t="s">
        <v>2</v>
      </c>
      <c r="D2" s="239" t="s">
        <v>3</v>
      </c>
      <c r="E2" s="240"/>
    </row>
    <row r="3" spans="1:5" ht="27" customHeight="1">
      <c r="A3" s="18"/>
      <c r="B3" s="49" t="s">
        <v>4</v>
      </c>
      <c r="C3" s="250" t="s">
        <v>5</v>
      </c>
      <c r="D3" s="251"/>
      <c r="E3" s="252"/>
    </row>
    <row r="4" spans="1:5" ht="27" customHeight="1">
      <c r="A4" s="18"/>
      <c r="B4" s="25">
        <v>0</v>
      </c>
      <c r="C4" s="253">
        <v>0</v>
      </c>
      <c r="D4" s="254"/>
      <c r="E4" s="255"/>
    </row>
    <row r="5" spans="1:5" ht="27" customHeight="1">
      <c r="A5" s="18"/>
      <c r="B5" s="52" t="s">
        <v>6</v>
      </c>
      <c r="C5" s="256">
        <v>0</v>
      </c>
      <c r="D5" s="257"/>
      <c r="E5" s="258"/>
    </row>
    <row r="6" spans="1:5" ht="30.75" customHeight="1">
      <c r="A6" s="18"/>
      <c r="B6" s="18"/>
      <c r="C6" s="18"/>
      <c r="D6" s="18"/>
      <c r="E6" s="18"/>
    </row>
    <row r="7" spans="1:5" ht="25.5" customHeight="1">
      <c r="A7" s="18"/>
      <c r="B7" s="3" t="s">
        <v>7</v>
      </c>
      <c r="C7" s="1" t="s">
        <v>8</v>
      </c>
      <c r="D7" s="1" t="s">
        <v>9</v>
      </c>
      <c r="E7" s="1" t="s">
        <v>10</v>
      </c>
    </row>
    <row r="8" spans="1:5" ht="25.5" customHeight="1">
      <c r="A8" s="18"/>
      <c r="B8" s="4" t="s">
        <v>11</v>
      </c>
      <c r="C8" s="5">
        <v>0</v>
      </c>
      <c r="D8" s="5">
        <v>0</v>
      </c>
      <c r="E8" s="5">
        <v>0</v>
      </c>
    </row>
    <row r="9" spans="1:5" ht="25.5" customHeight="1">
      <c r="A9" s="18"/>
      <c r="B9" s="4" t="s">
        <v>12</v>
      </c>
      <c r="C9" s="5">
        <v>0</v>
      </c>
      <c r="D9" s="5">
        <v>0</v>
      </c>
      <c r="E9" s="5">
        <v>0</v>
      </c>
    </row>
    <row r="10" spans="1:5" ht="25.5" customHeight="1">
      <c r="A10" s="18"/>
      <c r="B10" s="4" t="s">
        <v>13</v>
      </c>
      <c r="C10" s="5">
        <v>0</v>
      </c>
      <c r="D10" s="5">
        <v>0</v>
      </c>
      <c r="E10" s="5">
        <v>0</v>
      </c>
    </row>
    <row r="11" spans="1:5" ht="4.5" customHeight="1">
      <c r="A11" s="18"/>
      <c r="B11" s="18"/>
      <c r="C11" s="18"/>
      <c r="D11" s="18"/>
      <c r="E11" s="18"/>
    </row>
    <row r="12" spans="1:5" ht="26.25" customHeight="1">
      <c r="A12" s="18"/>
      <c r="B12" s="6" t="s">
        <v>14</v>
      </c>
      <c r="C12" s="7">
        <f>Cálculo!K9</f>
        <v>0</v>
      </c>
      <c r="D12" s="7">
        <f>Cálculo!L9</f>
        <v>0</v>
      </c>
      <c r="E12" s="7">
        <f>Cálculo!M9</f>
        <v>0</v>
      </c>
    </row>
    <row r="13" spans="1:5" ht="30.75" customHeight="1">
      <c r="A13" s="18"/>
      <c r="B13" s="18"/>
      <c r="C13" s="18"/>
      <c r="D13" s="18"/>
      <c r="E13" s="18"/>
    </row>
    <row r="14" spans="1:5" ht="25.5" customHeight="1">
      <c r="A14" s="18"/>
      <c r="B14" s="3" t="s">
        <v>15</v>
      </c>
      <c r="C14" s="1" t="s">
        <v>8</v>
      </c>
      <c r="D14" s="1" t="s">
        <v>9</v>
      </c>
      <c r="E14" s="1" t="s">
        <v>10</v>
      </c>
    </row>
    <row r="15" spans="1:5" ht="25.5" customHeight="1">
      <c r="A15" s="18"/>
      <c r="B15" s="8" t="s">
        <v>16</v>
      </c>
      <c r="C15" s="24">
        <v>5</v>
      </c>
      <c r="D15" s="24">
        <v>6</v>
      </c>
      <c r="E15" s="24">
        <v>0</v>
      </c>
    </row>
    <row r="16" spans="1:5" ht="47.25" customHeight="1">
      <c r="A16" s="18"/>
      <c r="B16" s="27" t="s">
        <v>17</v>
      </c>
      <c r="C16" s="24">
        <v>0</v>
      </c>
      <c r="D16" s="24">
        <v>0</v>
      </c>
      <c r="E16" s="24">
        <v>0</v>
      </c>
    </row>
    <row r="17" spans="1:5" ht="25.5" customHeight="1">
      <c r="A17" s="18"/>
      <c r="B17" s="22" t="s">
        <v>18</v>
      </c>
      <c r="C17" s="259" t="str">
        <f>Cálculo!O15</f>
        <v>0 anos 0 meses 0 dias</v>
      </c>
      <c r="D17" s="259"/>
      <c r="E17" s="259"/>
    </row>
    <row r="18" spans="1:5" ht="25.5" customHeight="1">
      <c r="A18" s="18"/>
      <c r="B18" s="21" t="s">
        <v>19</v>
      </c>
      <c r="C18" s="260" t="str">
        <f>Cálculo!O14</f>
        <v>Sem pena cumprida</v>
      </c>
      <c r="D18" s="261"/>
      <c r="E18" s="262"/>
    </row>
    <row r="19" spans="1:5" ht="30.75" customHeight="1">
      <c r="A19" s="18"/>
      <c r="B19" s="18"/>
      <c r="C19" s="18"/>
      <c r="D19" s="18"/>
      <c r="E19" s="18"/>
    </row>
    <row r="20" spans="1:5" ht="18" customHeight="1">
      <c r="A20" s="18"/>
      <c r="B20" s="19" t="s">
        <v>20</v>
      </c>
      <c r="C20" s="20" t="s">
        <v>8</v>
      </c>
      <c r="D20" s="20" t="s">
        <v>9</v>
      </c>
      <c r="E20" s="20" t="s">
        <v>10</v>
      </c>
    </row>
    <row r="21" spans="1:5" ht="25.5" customHeight="1">
      <c r="A21" s="18"/>
      <c r="B21" s="21" t="s">
        <v>21</v>
      </c>
      <c r="C21" s="247" t="str">
        <f>Cálculo!O16</f>
        <v>-5 anos -6 meses 0 dias</v>
      </c>
      <c r="D21" s="248"/>
      <c r="E21" s="249"/>
    </row>
    <row r="22" spans="1:5" ht="25.5" customHeight="1">
      <c r="A22" s="18"/>
      <c r="B22" s="21" t="s">
        <v>22</v>
      </c>
      <c r="C22" s="247" t="str">
        <f>Cálculo!O17</f>
        <v>Sem pena remanescente</v>
      </c>
      <c r="D22" s="248"/>
      <c r="E22" s="249"/>
    </row>
    <row r="23" spans="1:5" ht="18" customHeight="1">
      <c r="A23" s="18"/>
      <c r="B23" s="23"/>
      <c r="C23" s="23"/>
      <c r="D23" s="23"/>
      <c r="E23" s="23"/>
    </row>
    <row r="24" spans="1:5" ht="18" customHeight="1">
      <c r="A24" s="18"/>
      <c r="B24" s="19" t="s">
        <v>23</v>
      </c>
      <c r="C24" s="20" t="s">
        <v>8</v>
      </c>
      <c r="D24" s="20" t="s">
        <v>9</v>
      </c>
      <c r="E24" s="20" t="s">
        <v>10</v>
      </c>
    </row>
    <row r="25" spans="1:5" ht="25.5" customHeight="1">
      <c r="A25" s="18"/>
      <c r="B25" s="22" t="s">
        <v>24</v>
      </c>
      <c r="C25" s="247" t="str">
        <f>Cálculo!D154</f>
        <v>0 anos 0 meses 0 dias</v>
      </c>
      <c r="D25" s="248"/>
      <c r="E25" s="249"/>
    </row>
    <row r="26" spans="1:5" ht="25.5" customHeight="1">
      <c r="A26" s="18"/>
      <c r="B26" s="22" t="s">
        <v>25</v>
      </c>
      <c r="C26" s="247" t="str">
        <f>Cálculo!D155</f>
        <v>0 anos 0 meses 0 dias</v>
      </c>
      <c r="D26" s="248"/>
      <c r="E26" s="249"/>
    </row>
    <row r="27" spans="1:5" ht="25.5" customHeight="1">
      <c r="A27" s="18"/>
      <c r="B27" s="22" t="s">
        <v>26</v>
      </c>
      <c r="C27" s="247" t="str">
        <f>Cálculo!D156</f>
        <v>0 anos 0 meses 0 dias</v>
      </c>
      <c r="D27" s="248"/>
      <c r="E27" s="249"/>
    </row>
    <row r="28" spans="1:5" ht="25.5" customHeight="1">
      <c r="A28" s="18"/>
      <c r="B28" s="22" t="s">
        <v>27</v>
      </c>
      <c r="C28" s="247" t="str">
        <f>Cálculo!D157</f>
        <v>0 anos 0 meses 0 dias</v>
      </c>
      <c r="D28" s="248"/>
      <c r="E28" s="249"/>
    </row>
    <row r="29" spans="1:5" ht="25.5" customHeight="1">
      <c r="A29" s="18"/>
      <c r="B29" s="22" t="s">
        <v>28</v>
      </c>
      <c r="C29" s="247" t="str">
        <f>Cálculo!D158</f>
        <v>0 anos 0 meses 0 dias</v>
      </c>
      <c r="D29" s="248"/>
      <c r="E29" s="249"/>
    </row>
    <row r="30" spans="1:5" ht="18" customHeight="1">
      <c r="A30" s="18"/>
      <c r="B30" s="18"/>
      <c r="C30" s="18"/>
      <c r="D30" s="18"/>
      <c r="E30" s="18"/>
    </row>
    <row r="31" spans="1:5" ht="25.5" customHeight="1" thickBot="1">
      <c r="A31" s="18"/>
      <c r="B31" s="241" t="s">
        <v>29</v>
      </c>
      <c r="C31" s="242"/>
      <c r="D31" s="243"/>
      <c r="E31" s="29" t="s">
        <v>30</v>
      </c>
    </row>
    <row r="32" spans="1:5" ht="4.5" customHeight="1" thickTop="1">
      <c r="A32" s="18"/>
      <c r="B32" s="26"/>
      <c r="C32" s="26"/>
      <c r="D32" s="26"/>
      <c r="E32" s="26"/>
    </row>
    <row r="33" spans="1:5" ht="25.5" customHeight="1" thickBot="1">
      <c r="A33" s="18"/>
      <c r="B33" s="244" t="s">
        <v>31</v>
      </c>
      <c r="C33" s="245"/>
      <c r="D33" s="246"/>
      <c r="E33" s="28">
        <v>22089</v>
      </c>
    </row>
    <row r="34" spans="1:5" s="50" customFormat="1" ht="4.5" customHeight="1" thickTop="1">
      <c r="A34" s="18"/>
      <c r="B34" s="155"/>
      <c r="C34" s="155"/>
      <c r="D34" s="155"/>
      <c r="E34" s="155"/>
    </row>
    <row r="35" spans="1:5" ht="25.5" customHeight="1" thickBot="1">
      <c r="A35" s="18"/>
      <c r="B35" s="241" t="s">
        <v>32</v>
      </c>
      <c r="C35" s="242"/>
      <c r="D35" s="243"/>
      <c r="E35" s="29" t="s">
        <v>33</v>
      </c>
    </row>
    <row r="36" spans="1:5" s="50" customFormat="1" ht="4.5" customHeight="1" thickTop="1">
      <c r="A36" s="18"/>
      <c r="B36" s="155"/>
      <c r="C36" s="155"/>
      <c r="D36" s="155"/>
      <c r="E36" s="155"/>
    </row>
    <row r="37" spans="1:5" ht="25.5" customHeight="1" thickBot="1">
      <c r="A37" s="18"/>
      <c r="B37" s="244" t="s">
        <v>34</v>
      </c>
      <c r="C37" s="245"/>
      <c r="D37" s="246"/>
      <c r="E37" s="30" t="s">
        <v>35</v>
      </c>
    </row>
    <row r="38" spans="1:5" s="50" customFormat="1" ht="4.5" customHeight="1" thickTop="1">
      <c r="A38" s="18"/>
      <c r="B38" s="155"/>
      <c r="C38" s="155"/>
      <c r="D38" s="155"/>
      <c r="E38" s="155"/>
    </row>
    <row r="39" spans="1:5" ht="15" customHeight="1">
      <c r="A39" s="18"/>
      <c r="B39" s="282" t="s">
        <v>36</v>
      </c>
      <c r="C39" s="97" t="s">
        <v>8</v>
      </c>
      <c r="D39" s="98" t="s">
        <v>9</v>
      </c>
      <c r="E39" s="200" t="s">
        <v>10</v>
      </c>
    </row>
    <row r="40" spans="1:5" ht="15.75" thickBot="1">
      <c r="A40" s="18"/>
      <c r="B40" s="283"/>
      <c r="C40" s="99" t="s">
        <v>37</v>
      </c>
      <c r="D40" s="100" t="s">
        <v>37</v>
      </c>
      <c r="E40" s="203" t="s">
        <v>37</v>
      </c>
    </row>
    <row r="41" spans="1:5" s="50" customFormat="1" ht="4.5" customHeight="1" thickTop="1">
      <c r="A41" s="18"/>
      <c r="B41" s="155"/>
      <c r="C41" s="155"/>
      <c r="D41" s="155"/>
      <c r="E41" s="155"/>
    </row>
    <row r="42" spans="1:5" ht="15">
      <c r="A42" s="18"/>
      <c r="B42" s="280" t="s">
        <v>38</v>
      </c>
      <c r="C42" s="174" t="s">
        <v>8</v>
      </c>
      <c r="D42" s="175" t="s">
        <v>9</v>
      </c>
      <c r="E42" s="201" t="s">
        <v>10</v>
      </c>
    </row>
    <row r="43" spans="1:5" ht="15.75" thickBot="1">
      <c r="A43" s="18"/>
      <c r="B43" s="281"/>
      <c r="C43" s="176" t="s">
        <v>37</v>
      </c>
      <c r="D43" s="177" t="s">
        <v>37</v>
      </c>
      <c r="E43" s="202" t="s">
        <v>37</v>
      </c>
    </row>
    <row r="44" spans="1:5" s="50" customFormat="1" ht="4.5" customHeight="1" thickTop="1">
      <c r="A44" s="18"/>
      <c r="B44" s="155"/>
      <c r="C44" s="155"/>
      <c r="D44" s="155"/>
      <c r="E44" s="155"/>
    </row>
    <row r="45" spans="1:5" ht="25.5" customHeight="1" thickBot="1">
      <c r="A45" s="18"/>
      <c r="B45" s="241" t="s">
        <v>39</v>
      </c>
      <c r="C45" s="242"/>
      <c r="D45" s="243"/>
      <c r="E45" s="29" t="s">
        <v>33</v>
      </c>
    </row>
    <row r="46" spans="1:5" s="50" customFormat="1" ht="4.5" customHeight="1" thickTop="1">
      <c r="A46" s="18"/>
      <c r="B46" s="155"/>
      <c r="C46" s="155"/>
      <c r="D46" s="155"/>
      <c r="E46" s="155"/>
    </row>
    <row r="47" spans="1:5" ht="30.75" customHeight="1" thickBot="1">
      <c r="A47" s="18"/>
      <c r="B47" s="277" t="s">
        <v>40</v>
      </c>
      <c r="C47" s="278"/>
      <c r="D47" s="279"/>
      <c r="E47" s="178" t="s">
        <v>33</v>
      </c>
    </row>
    <row r="48" spans="1:5" s="50" customFormat="1" ht="4.5" customHeight="1" thickTop="1">
      <c r="A48" s="18"/>
      <c r="B48" s="156"/>
      <c r="C48" s="156"/>
      <c r="D48" s="156"/>
      <c r="E48" s="231"/>
    </row>
    <row r="49" spans="1:5" ht="33" customHeight="1" thickBot="1">
      <c r="A49" s="18"/>
      <c r="B49" s="266" t="s">
        <v>41</v>
      </c>
      <c r="C49" s="267"/>
      <c r="D49" s="268"/>
      <c r="E49" s="29" t="s">
        <v>33</v>
      </c>
    </row>
    <row r="50" spans="1:5" s="50" customFormat="1" ht="4.5" customHeight="1" thickTop="1">
      <c r="A50" s="18"/>
      <c r="B50" s="156"/>
      <c r="C50" s="156"/>
      <c r="D50" s="156"/>
      <c r="E50" s="231"/>
    </row>
    <row r="51" spans="1:5" ht="59.25" customHeight="1" thickBot="1">
      <c r="A51" s="18"/>
      <c r="B51" s="277" t="s">
        <v>42</v>
      </c>
      <c r="C51" s="278"/>
      <c r="D51" s="279"/>
      <c r="E51" s="178" t="s">
        <v>33</v>
      </c>
    </row>
    <row r="52" spans="1:5" s="50" customFormat="1" ht="4.5" customHeight="1" thickTop="1">
      <c r="A52" s="18"/>
      <c r="B52" s="156"/>
      <c r="C52" s="156"/>
      <c r="D52" s="156"/>
      <c r="E52" s="231"/>
    </row>
    <row r="53" spans="1:5" ht="25.5" customHeight="1" thickBot="1">
      <c r="A53" s="18"/>
      <c r="B53" s="241" t="s">
        <v>43</v>
      </c>
      <c r="C53" s="242"/>
      <c r="D53" s="243"/>
      <c r="E53" s="29">
        <v>40537</v>
      </c>
    </row>
    <row r="54" spans="1:5" s="50" customFormat="1" ht="4.5" customHeight="1" thickTop="1">
      <c r="A54" s="18"/>
      <c r="B54" s="155"/>
      <c r="C54" s="155"/>
      <c r="D54" s="155"/>
      <c r="E54" s="155"/>
    </row>
    <row r="55" spans="1:5" ht="25.5" customHeight="1" thickBot="1">
      <c r="A55" s="18"/>
      <c r="B55" s="284" t="s">
        <v>44</v>
      </c>
      <c r="C55" s="285"/>
      <c r="D55" s="286"/>
      <c r="E55" s="30" t="s">
        <v>33</v>
      </c>
    </row>
    <row r="56" spans="1:5" s="50" customFormat="1" ht="4.5" customHeight="1" thickTop="1">
      <c r="A56" s="18"/>
      <c r="B56" s="155"/>
      <c r="C56" s="155"/>
      <c r="D56" s="155"/>
      <c r="E56" s="155"/>
    </row>
    <row r="57" spans="1:5" ht="25.5" customHeight="1" thickBot="1">
      <c r="A57" s="18"/>
      <c r="B57" s="241" t="s">
        <v>45</v>
      </c>
      <c r="C57" s="242"/>
      <c r="D57" s="243"/>
      <c r="E57" s="29" t="s">
        <v>33</v>
      </c>
    </row>
    <row r="58" spans="1:5" s="50" customFormat="1" ht="4.5" customHeight="1" thickTop="1">
      <c r="A58" s="18"/>
      <c r="B58" s="155"/>
      <c r="C58" s="155"/>
      <c r="D58" s="155"/>
      <c r="E58" s="155"/>
    </row>
    <row r="59" spans="1:5" ht="25.5" customHeight="1" thickBot="1">
      <c r="A59" s="18"/>
      <c r="B59" s="244" t="s">
        <v>46</v>
      </c>
      <c r="C59" s="245"/>
      <c r="D59" s="246"/>
      <c r="E59" s="30" t="s">
        <v>33</v>
      </c>
    </row>
    <row r="60" spans="1:5" s="50" customFormat="1" ht="4.5" customHeight="1" thickTop="1">
      <c r="A60" s="18"/>
      <c r="B60" s="155"/>
      <c r="C60" s="155"/>
      <c r="D60" s="155"/>
      <c r="E60" s="155"/>
    </row>
    <row r="61" spans="1:5" ht="25.5" customHeight="1" thickBot="1">
      <c r="A61" s="18"/>
      <c r="B61" s="241" t="s">
        <v>47</v>
      </c>
      <c r="C61" s="242"/>
      <c r="D61" s="243"/>
      <c r="E61" s="179">
        <v>0</v>
      </c>
    </row>
    <row r="62" spans="1:5" s="50" customFormat="1" ht="4.5" customHeight="1" thickTop="1">
      <c r="A62" s="18"/>
      <c r="B62" s="155"/>
      <c r="C62" s="155"/>
      <c r="D62" s="155"/>
      <c r="E62" s="155"/>
    </row>
    <row r="63" spans="1:5" ht="25.5" customHeight="1" thickBot="1">
      <c r="A63" s="18"/>
      <c r="B63" s="244" t="s">
        <v>48</v>
      </c>
      <c r="C63" s="245"/>
      <c r="D63" s="246"/>
      <c r="E63" s="30" t="s">
        <v>33</v>
      </c>
    </row>
    <row r="64" spans="1:5" s="50" customFormat="1" ht="4.5" customHeight="1" thickTop="1">
      <c r="A64" s="18"/>
      <c r="B64" s="155"/>
      <c r="C64" s="155"/>
      <c r="D64" s="155"/>
      <c r="E64" s="155"/>
    </row>
    <row r="65" spans="1:6" ht="25.5" customHeight="1" thickBot="1">
      <c r="A65" s="18"/>
      <c r="B65" s="241" t="s">
        <v>49</v>
      </c>
      <c r="C65" s="242"/>
      <c r="D65" s="243"/>
      <c r="E65" s="29" t="s">
        <v>33</v>
      </c>
    </row>
    <row r="66" spans="1:6" s="50" customFormat="1" ht="4.5" customHeight="1" thickTop="1">
      <c r="A66" s="18"/>
      <c r="B66" s="155"/>
      <c r="C66" s="155"/>
      <c r="D66" s="155"/>
      <c r="E66" s="155"/>
    </row>
    <row r="67" spans="1:6" ht="25.5" customHeight="1" thickBot="1">
      <c r="A67" s="18"/>
      <c r="B67" s="244" t="s">
        <v>50</v>
      </c>
      <c r="C67" s="245"/>
      <c r="D67" s="246"/>
      <c r="E67" s="30" t="s">
        <v>33</v>
      </c>
    </row>
    <row r="68" spans="1:6" s="50" customFormat="1" ht="4.5" customHeight="1" thickTop="1">
      <c r="A68" s="18"/>
      <c r="B68" s="155"/>
      <c r="C68" s="155"/>
      <c r="D68" s="155"/>
      <c r="E68" s="155"/>
    </row>
    <row r="69" spans="1:6" ht="25.5" customHeight="1" thickBot="1">
      <c r="A69" s="18"/>
      <c r="B69" s="220" t="s">
        <v>51</v>
      </c>
      <c r="C69" s="221"/>
      <c r="D69" s="222"/>
      <c r="E69" s="29" t="s">
        <v>33</v>
      </c>
    </row>
    <row r="70" spans="1:6" s="50" customFormat="1" ht="4.5" customHeight="1" thickTop="1">
      <c r="A70" s="18"/>
      <c r="B70" s="155"/>
      <c r="C70" s="155"/>
      <c r="D70" s="155"/>
      <c r="E70" s="155"/>
    </row>
    <row r="71" spans="1:6" ht="47.25" customHeight="1" thickBot="1">
      <c r="A71" s="18"/>
      <c r="B71" s="269" t="s">
        <v>52</v>
      </c>
      <c r="C71" s="270"/>
      <c r="D71" s="271"/>
      <c r="E71" s="30" t="s">
        <v>33</v>
      </c>
    </row>
    <row r="72" spans="1:6" s="50" customFormat="1" ht="4.5" customHeight="1" thickTop="1">
      <c r="A72" s="18"/>
      <c r="B72" s="156"/>
      <c r="C72" s="156"/>
      <c r="D72" s="156"/>
      <c r="E72" s="231"/>
    </row>
    <row r="73" spans="1:6" ht="96" customHeight="1" thickBot="1">
      <c r="A73" s="18"/>
      <c r="B73" s="266" t="s">
        <v>53</v>
      </c>
      <c r="C73" s="267"/>
      <c r="D73" s="268"/>
      <c r="E73" s="199" t="s">
        <v>33</v>
      </c>
    </row>
    <row r="74" spans="1:6" s="50" customFormat="1" ht="4.5" customHeight="1" thickTop="1">
      <c r="A74" s="18"/>
      <c r="B74" s="156"/>
      <c r="C74" s="156"/>
      <c r="D74" s="156"/>
      <c r="E74" s="231"/>
    </row>
    <row r="75" spans="1:6" ht="25.5" customHeight="1" thickBot="1">
      <c r="A75" s="18"/>
      <c r="B75" s="244" t="s">
        <v>54</v>
      </c>
      <c r="C75" s="245"/>
      <c r="D75" s="246"/>
      <c r="E75" s="91" t="s">
        <v>33</v>
      </c>
      <c r="F75" s="232"/>
    </row>
    <row r="76" spans="1:6" s="50" customFormat="1" ht="4.5" customHeight="1" thickTop="1">
      <c r="A76" s="18"/>
      <c r="B76" s="155"/>
      <c r="C76" s="155"/>
      <c r="D76" s="155"/>
      <c r="E76" s="155" t="s">
        <v>33</v>
      </c>
    </row>
    <row r="77" spans="1:6" ht="25.5" customHeight="1" thickBot="1">
      <c r="A77" s="18"/>
      <c r="B77" s="220" t="s">
        <v>55</v>
      </c>
      <c r="C77" s="221"/>
      <c r="D77" s="222"/>
      <c r="E77" s="29" t="s">
        <v>33</v>
      </c>
    </row>
    <row r="78" spans="1:6" s="50" customFormat="1" ht="4.5" customHeight="1" thickTop="1">
      <c r="A78" s="18"/>
      <c r="B78" s="155"/>
      <c r="C78" s="155"/>
      <c r="D78" s="155"/>
      <c r="E78" s="155" t="s">
        <v>33</v>
      </c>
    </row>
    <row r="79" spans="1:6" ht="25.5" customHeight="1" thickBot="1">
      <c r="A79" s="18"/>
      <c r="B79" s="244" t="s">
        <v>56</v>
      </c>
      <c r="C79" s="245"/>
      <c r="D79" s="246"/>
      <c r="E79" s="91" t="s">
        <v>33</v>
      </c>
      <c r="F79" s="232"/>
    </row>
    <row r="80" spans="1:6" s="50" customFormat="1" ht="4.5" customHeight="1" thickTop="1">
      <c r="A80" s="18"/>
      <c r="B80" s="155"/>
      <c r="C80" s="155"/>
      <c r="D80" s="155"/>
      <c r="E80" s="155" t="s">
        <v>33</v>
      </c>
    </row>
    <row r="81" spans="1:6" ht="25.5" customHeight="1" thickBot="1">
      <c r="A81" s="18"/>
      <c r="B81" s="220" t="s">
        <v>57</v>
      </c>
      <c r="C81" s="221"/>
      <c r="D81" s="222"/>
      <c r="E81" s="29" t="s">
        <v>33</v>
      </c>
    </row>
    <row r="82" spans="1:6" s="50" customFormat="1" ht="4.5" customHeight="1" thickTop="1">
      <c r="A82" s="18"/>
      <c r="B82" s="155"/>
      <c r="C82" s="155"/>
      <c r="D82" s="155"/>
      <c r="E82" s="155" t="s">
        <v>33</v>
      </c>
    </row>
    <row r="83" spans="1:6" ht="25.5" customHeight="1" thickBot="1">
      <c r="A83" s="18"/>
      <c r="B83" s="244" t="s">
        <v>58</v>
      </c>
      <c r="C83" s="245"/>
      <c r="D83" s="246"/>
      <c r="E83" s="91" t="s">
        <v>33</v>
      </c>
      <c r="F83" s="232"/>
    </row>
    <row r="84" spans="1:6" s="50" customFormat="1" ht="4.5" customHeight="1" thickTop="1">
      <c r="A84" s="18"/>
      <c r="B84" s="155"/>
      <c r="C84" s="155"/>
      <c r="D84" s="155"/>
      <c r="E84" s="155" t="s">
        <v>33</v>
      </c>
    </row>
    <row r="85" spans="1:6" ht="25.5" customHeight="1" thickBot="1">
      <c r="A85" s="18"/>
      <c r="B85" s="220" t="s">
        <v>59</v>
      </c>
      <c r="C85" s="221"/>
      <c r="D85" s="222"/>
      <c r="E85" s="29" t="s">
        <v>33</v>
      </c>
    </row>
    <row r="86" spans="1:6" s="50" customFormat="1" ht="4.5" customHeight="1" thickTop="1">
      <c r="A86" s="18"/>
      <c r="B86" s="155"/>
      <c r="C86" s="155"/>
      <c r="D86" s="155"/>
      <c r="E86" s="155"/>
    </row>
    <row r="87" spans="1:6" ht="25.5" customHeight="1" thickBot="1">
      <c r="A87" s="18"/>
      <c r="B87" s="244" t="s">
        <v>60</v>
      </c>
      <c r="C87" s="245"/>
      <c r="D87" s="246"/>
      <c r="E87" s="30" t="s">
        <v>33</v>
      </c>
    </row>
    <row r="88" spans="1:6" s="50" customFormat="1" ht="4.5" customHeight="1" thickTop="1">
      <c r="A88" s="18"/>
      <c r="B88" s="155"/>
      <c r="C88" s="155"/>
      <c r="D88" s="155"/>
      <c r="E88" s="155"/>
    </row>
    <row r="89" spans="1:6" ht="25.5" customHeight="1" thickBot="1">
      <c r="A89" s="18"/>
      <c r="B89" s="241" t="s">
        <v>61</v>
      </c>
      <c r="C89" s="242"/>
      <c r="D89" s="243"/>
      <c r="E89" s="29" t="s">
        <v>33</v>
      </c>
    </row>
    <row r="90" spans="1:6" s="50" customFormat="1" ht="4.5" customHeight="1" thickTop="1">
      <c r="A90" s="18"/>
      <c r="B90" s="155"/>
      <c r="C90" s="155"/>
      <c r="D90" s="155"/>
      <c r="E90" s="155"/>
    </row>
    <row r="91" spans="1:6" ht="33" customHeight="1" thickBot="1">
      <c r="A91" s="18"/>
      <c r="B91" s="269" t="s">
        <v>62</v>
      </c>
      <c r="C91" s="270"/>
      <c r="D91" s="271"/>
      <c r="E91" s="30" t="s">
        <v>33</v>
      </c>
    </row>
    <row r="92" spans="1:6" s="50" customFormat="1" ht="4.5" customHeight="1" thickTop="1">
      <c r="A92" s="18"/>
      <c r="B92" s="155"/>
      <c r="C92" s="155"/>
      <c r="D92" s="155"/>
      <c r="E92" s="155"/>
    </row>
    <row r="93" spans="1:6" ht="33" customHeight="1" thickBot="1">
      <c r="A93" s="18"/>
      <c r="B93" s="241" t="s">
        <v>63</v>
      </c>
      <c r="C93" s="242"/>
      <c r="D93" s="243"/>
      <c r="E93" s="29" t="s">
        <v>33</v>
      </c>
    </row>
    <row r="94" spans="1:6" s="50" customFormat="1" ht="4.5" customHeight="1" thickTop="1">
      <c r="A94" s="18"/>
      <c r="B94" s="155"/>
      <c r="C94" s="155"/>
      <c r="D94" s="155"/>
      <c r="E94" s="155"/>
    </row>
    <row r="95" spans="1:6" ht="33" customHeight="1" thickBot="1">
      <c r="A95" s="18"/>
      <c r="B95" s="269" t="s">
        <v>64</v>
      </c>
      <c r="C95" s="270"/>
      <c r="D95" s="271"/>
      <c r="E95" s="30" t="s">
        <v>33</v>
      </c>
    </row>
    <row r="96" spans="1:6" s="50" customFormat="1" ht="4.5" customHeight="1" thickTop="1">
      <c r="A96" s="18"/>
      <c r="B96" s="155"/>
      <c r="C96" s="155"/>
      <c r="D96" s="155"/>
      <c r="E96" s="155"/>
    </row>
    <row r="97" spans="1:5" ht="33" customHeight="1" thickBot="1">
      <c r="A97" s="18"/>
      <c r="B97" s="266" t="s">
        <v>65</v>
      </c>
      <c r="C97" s="267"/>
      <c r="D97" s="268"/>
      <c r="E97" s="29" t="s">
        <v>33</v>
      </c>
    </row>
    <row r="98" spans="1:5" s="50" customFormat="1" ht="4.5" customHeight="1" thickTop="1">
      <c r="A98" s="18"/>
      <c r="B98" s="155"/>
      <c r="C98" s="155"/>
      <c r="D98" s="155"/>
      <c r="E98" s="155"/>
    </row>
    <row r="99" spans="1:5" ht="25.5" customHeight="1" thickBot="1">
      <c r="A99" s="18"/>
      <c r="B99" s="244" t="s">
        <v>66</v>
      </c>
      <c r="C99" s="245"/>
      <c r="D99" s="246"/>
      <c r="E99" s="30" t="s">
        <v>33</v>
      </c>
    </row>
    <row r="100" spans="1:5" s="50" customFormat="1" ht="4.5" customHeight="1" thickTop="1">
      <c r="A100" s="18"/>
      <c r="B100" s="155"/>
      <c r="C100" s="155"/>
      <c r="D100" s="155"/>
      <c r="E100" s="155"/>
    </row>
    <row r="101" spans="1:5" ht="33" customHeight="1" thickBot="1">
      <c r="A101" s="18"/>
      <c r="B101" s="266" t="s">
        <v>67</v>
      </c>
      <c r="C101" s="267"/>
      <c r="D101" s="268"/>
      <c r="E101" s="29" t="s">
        <v>33</v>
      </c>
    </row>
    <row r="102" spans="1:5" s="50" customFormat="1" ht="4.5" customHeight="1" thickTop="1">
      <c r="A102" s="18"/>
      <c r="B102" s="155"/>
      <c r="C102" s="155"/>
      <c r="D102" s="155"/>
      <c r="E102" s="155"/>
    </row>
    <row r="103" spans="1:5" ht="25.5" customHeight="1" thickBot="1">
      <c r="A103" s="18"/>
      <c r="B103" s="244" t="s">
        <v>68</v>
      </c>
      <c r="C103" s="245"/>
      <c r="D103" s="246"/>
      <c r="E103" s="30" t="s">
        <v>33</v>
      </c>
    </row>
    <row r="104" spans="1:5" s="50" customFormat="1" ht="4.5" customHeight="1" thickTop="1">
      <c r="A104" s="18"/>
      <c r="B104" s="155"/>
      <c r="C104" s="155"/>
      <c r="D104" s="155"/>
      <c r="E104" s="155"/>
    </row>
    <row r="105" spans="1:5" ht="25.5" customHeight="1" thickBot="1">
      <c r="A105" s="18"/>
      <c r="B105" s="220" t="s">
        <v>69</v>
      </c>
      <c r="C105" s="221"/>
      <c r="D105" s="222"/>
      <c r="E105" s="29" t="s">
        <v>33</v>
      </c>
    </row>
    <row r="106" spans="1:5" s="50" customFormat="1" ht="4.5" customHeight="1" thickTop="1">
      <c r="A106" s="18"/>
      <c r="B106" s="155"/>
      <c r="C106" s="155"/>
      <c r="D106" s="155"/>
      <c r="E106" s="155"/>
    </row>
    <row r="107" spans="1:5" ht="25.5" customHeight="1" thickBot="1">
      <c r="A107" s="18"/>
      <c r="B107" s="244" t="s">
        <v>70</v>
      </c>
      <c r="C107" s="245"/>
      <c r="D107" s="246"/>
      <c r="E107" s="30" t="s">
        <v>33</v>
      </c>
    </row>
    <row r="108" spans="1:5" s="50" customFormat="1" ht="4.5" customHeight="1" thickTop="1">
      <c r="A108" s="18"/>
      <c r="B108" s="155"/>
      <c r="C108" s="155"/>
      <c r="D108" s="155"/>
      <c r="E108" s="155"/>
    </row>
    <row r="109" spans="1:5" ht="25.5" customHeight="1" thickBot="1">
      <c r="A109" s="18"/>
      <c r="B109" s="220" t="s">
        <v>71</v>
      </c>
      <c r="C109" s="221"/>
      <c r="D109" s="222"/>
      <c r="E109" s="29" t="s">
        <v>33</v>
      </c>
    </row>
    <row r="110" spans="1:5" s="50" customFormat="1" ht="4.5" customHeight="1" thickTop="1">
      <c r="A110" s="18"/>
      <c r="B110" s="155"/>
      <c r="C110" s="155"/>
      <c r="D110" s="155"/>
      <c r="E110" s="155"/>
    </row>
    <row r="111" spans="1:5" ht="25.5" customHeight="1" thickBot="1">
      <c r="A111" s="18"/>
      <c r="B111" s="244" t="s">
        <v>72</v>
      </c>
      <c r="C111" s="245"/>
      <c r="D111" s="246"/>
      <c r="E111" s="30" t="s">
        <v>33</v>
      </c>
    </row>
    <row r="112" spans="1:5" s="50" customFormat="1" ht="4.5" customHeight="1" thickTop="1">
      <c r="A112" s="18"/>
      <c r="B112" s="155"/>
      <c r="C112" s="155"/>
      <c r="D112" s="155"/>
      <c r="E112" s="155"/>
    </row>
    <row r="113" spans="1:5" ht="47.25" customHeight="1" thickBot="1">
      <c r="A113" s="18"/>
      <c r="B113" s="266" t="s">
        <v>73</v>
      </c>
      <c r="C113" s="267"/>
      <c r="D113" s="268"/>
      <c r="E113" s="29" t="s">
        <v>74</v>
      </c>
    </row>
    <row r="114" spans="1:5" s="50" customFormat="1" ht="4.5" customHeight="1" thickTop="1">
      <c r="A114" s="18"/>
      <c r="B114" s="155"/>
      <c r="C114" s="155"/>
      <c r="D114" s="155"/>
      <c r="E114" s="155"/>
    </row>
    <row r="115" spans="1:5" ht="33" customHeight="1" thickBot="1">
      <c r="A115" s="18"/>
      <c r="B115" s="269" t="s">
        <v>75</v>
      </c>
      <c r="C115" s="270"/>
      <c r="D115" s="271"/>
      <c r="E115" s="30" t="s">
        <v>74</v>
      </c>
    </row>
    <row r="116" spans="1:5" s="50" customFormat="1" ht="4.5" customHeight="1" thickTop="1">
      <c r="A116" s="18"/>
      <c r="B116" s="155"/>
      <c r="C116" s="155"/>
      <c r="D116" s="155"/>
      <c r="E116" s="155"/>
    </row>
    <row r="117" spans="1:5" ht="25.5" customHeight="1" thickBot="1">
      <c r="A117" s="18"/>
      <c r="B117" s="220" t="s">
        <v>76</v>
      </c>
      <c r="C117" s="221"/>
      <c r="D117" s="222"/>
      <c r="E117" s="204">
        <v>0</v>
      </c>
    </row>
    <row r="118" spans="1:5" s="50" customFormat="1" ht="4.5" customHeight="1" thickTop="1">
      <c r="A118" s="18"/>
      <c r="B118" s="155"/>
      <c r="C118" s="155"/>
      <c r="D118" s="155"/>
      <c r="E118" s="155"/>
    </row>
    <row r="119" spans="1:5" ht="25.5" customHeight="1" thickBot="1">
      <c r="A119" s="18"/>
      <c r="B119" s="244" t="s">
        <v>77</v>
      </c>
      <c r="C119" s="245"/>
      <c r="D119" s="246"/>
      <c r="E119" s="30" t="s">
        <v>33</v>
      </c>
    </row>
    <row r="120" spans="1:5" ht="27.75" customHeight="1" thickTop="1">
      <c r="A120" s="18"/>
      <c r="B120" s="233"/>
      <c r="C120" s="157"/>
      <c r="D120" s="157"/>
      <c r="E120" s="157"/>
    </row>
    <row r="121" spans="1:5" ht="25.5" hidden="1" customHeight="1" thickTop="1">
      <c r="A121" s="18"/>
      <c r="B121" s="9" t="s">
        <v>78</v>
      </c>
      <c r="C121" s="10"/>
      <c r="D121" s="18"/>
      <c r="E121" s="18"/>
    </row>
    <row r="122" spans="1:5" ht="11.25" hidden="1" customHeight="1">
      <c r="A122" s="18"/>
      <c r="B122" s="275"/>
      <c r="C122" s="276"/>
      <c r="D122" s="157"/>
      <c r="E122" s="157"/>
    </row>
    <row r="123" spans="1:5" ht="21" customHeight="1" thickBot="1">
      <c r="A123" s="18"/>
      <c r="B123" s="272" t="s">
        <v>79</v>
      </c>
      <c r="C123" s="273"/>
      <c r="D123" s="273"/>
      <c r="E123" s="274"/>
    </row>
    <row r="124" spans="1:5" ht="52.5" customHeight="1" thickTop="1" thickBot="1">
      <c r="A124" s="18"/>
      <c r="B124" s="263">
        <v>0</v>
      </c>
      <c r="C124" s="264"/>
      <c r="D124" s="264"/>
      <c r="E124" s="265"/>
    </row>
  </sheetData>
  <sheetProtection formatCells="0" formatColumns="0" formatRows="0" insertColumns="0" insertRows="0" insertHyperlinks="0" deleteColumns="0" deleteRows="0" sort="0" autoFilter="0" pivotTables="0"/>
  <protectedRanges>
    <protectedRange sqref="C43:E43" name="Intervalo10"/>
    <protectedRange sqref="B124:E124" name="Intervalo8"/>
    <protectedRange sqref="C15:E16" name="Intervalo4"/>
    <protectedRange sqref="C8:E10" name="Intervalo3"/>
    <protectedRange sqref="C5" name="Intervalo2"/>
    <protectedRange sqref="B4:E4" name="Intervalo1"/>
    <protectedRange sqref="E31:E37" name="Intervalo5"/>
    <protectedRange sqref="C40:E40 C43:E43" name="Intervalo6"/>
    <protectedRange sqref="E45:E119" name="Intervalo7"/>
    <protectedRange sqref="C5" name="Intervalo9"/>
  </protectedRanges>
  <mergeCells count="53">
    <mergeCell ref="B75:D75"/>
    <mergeCell ref="B79:D79"/>
    <mergeCell ref="B83:D83"/>
    <mergeCell ref="B37:D37"/>
    <mergeCell ref="B49:D49"/>
    <mergeCell ref="B47:D47"/>
    <mergeCell ref="B42:B43"/>
    <mergeCell ref="B57:D57"/>
    <mergeCell ref="B51:D51"/>
    <mergeCell ref="B39:B40"/>
    <mergeCell ref="B67:D67"/>
    <mergeCell ref="B63:D63"/>
    <mergeCell ref="B59:D59"/>
    <mergeCell ref="B55:D55"/>
    <mergeCell ref="B61:D61"/>
    <mergeCell ref="B95:D95"/>
    <mergeCell ref="B89:D89"/>
    <mergeCell ref="B122:C122"/>
    <mergeCell ref="B99:D99"/>
    <mergeCell ref="B113:D113"/>
    <mergeCell ref="B115:D115"/>
    <mergeCell ref="C18:E18"/>
    <mergeCell ref="B124:E124"/>
    <mergeCell ref="B53:D53"/>
    <mergeCell ref="B107:D107"/>
    <mergeCell ref="B111:D111"/>
    <mergeCell ref="B119:D119"/>
    <mergeCell ref="B73:D73"/>
    <mergeCell ref="B97:D97"/>
    <mergeCell ref="B93:D93"/>
    <mergeCell ref="B87:D87"/>
    <mergeCell ref="B91:D91"/>
    <mergeCell ref="B65:D65"/>
    <mergeCell ref="B71:D71"/>
    <mergeCell ref="B103:D103"/>
    <mergeCell ref="B101:D101"/>
    <mergeCell ref="B123:E123"/>
    <mergeCell ref="D2:E2"/>
    <mergeCell ref="B31:D31"/>
    <mergeCell ref="B33:D33"/>
    <mergeCell ref="B45:D45"/>
    <mergeCell ref="B35:D35"/>
    <mergeCell ref="C26:E26"/>
    <mergeCell ref="C29:E29"/>
    <mergeCell ref="C28:E28"/>
    <mergeCell ref="C27:E27"/>
    <mergeCell ref="C3:E3"/>
    <mergeCell ref="C4:E4"/>
    <mergeCell ref="C25:E25"/>
    <mergeCell ref="C22:E22"/>
    <mergeCell ref="C21:E21"/>
    <mergeCell ref="C5:E5"/>
    <mergeCell ref="C17:E17"/>
  </mergeCells>
  <dataValidations count="1">
    <dataValidation allowBlank="1" showErrorMessage="1" sqref="C40:E40 C43:E43" xr:uid="{AAE78206-E7BC-4E82-82A7-60194AC63FD6}"/>
  </dataValidations>
  <hyperlinks>
    <hyperlink ref="D2" r:id="rId1" xr:uid="{5E2F758B-0FB6-4FBE-B44D-41A9146BD077}"/>
  </hyperlinks>
  <printOptions horizontalCentered="1"/>
  <pageMargins left="0.31496062992125984" right="0.31496062992125984" top="0.39370078740157483" bottom="0.39370078740157483" header="0" footer="0"/>
  <pageSetup paperSize="9" scale="69" orientation="portrait" r:id="rId2"/>
  <rowBreaks count="1" manualBreakCount="1">
    <brk id="52" max="4" man="1"/>
  </rowBreaks>
  <drawing r:id="rId3"/>
  <extLst>
    <ext xmlns:x14="http://schemas.microsoft.com/office/spreadsheetml/2009/9/main" uri="{CCE6A557-97BC-4b89-ADB6-D9C93CAAB3DF}">
      <x14:dataValidations xmlns:xm="http://schemas.microsoft.com/office/excel/2006/main" count="7">
        <x14:dataValidation type="list" allowBlank="1" showErrorMessage="1" xr:uid="{00000000-0002-0000-0000-000000000000}">
          <x14:formula1>
            <xm:f>Valid_dados!$N$2:$N$4</xm:f>
          </x14:formula1>
          <xm:sqref>E37</xm:sqref>
        </x14:dataValidation>
        <x14:dataValidation type="list" allowBlank="1" showErrorMessage="1" xr:uid="{00000000-0002-0000-0000-000003000000}">
          <x14:formula1>
            <xm:f>Valid_dados!$L$2:$L$4</xm:f>
          </x14:formula1>
          <xm:sqref>E109 E111:E115</xm:sqref>
        </x14:dataValidation>
        <x14:dataValidation type="list" allowBlank="1" showErrorMessage="1" xr:uid="{00000000-0002-0000-0000-000005000000}">
          <x14:formula1>
            <xm:f>Valid_dados!$H$2:$H$3</xm:f>
          </x14:formula1>
          <xm:sqref>E65 E67 E45 E103 E50:E52 E114:E115 E107 E57:E60 E63 E55 E69 E119 E99 E48 E87:E94 E35 E97 E101 E105 E71:E85</xm:sqref>
        </x14:dataValidation>
        <x14:dataValidation type="list" allowBlank="1" showErrorMessage="1" xr:uid="{00000000-0002-0000-0000-000006000000}">
          <x14:formula1>
            <xm:f>Valid_dados!$J$2:$J$3</xm:f>
          </x14:formula1>
          <xm:sqref>E31</xm:sqref>
        </x14:dataValidation>
        <x14:dataValidation type="list" allowBlank="1" showErrorMessage="1" xr:uid="{48B44B43-0F52-4047-B5A4-383FA2B09F4F}">
          <x14:formula1>
            <xm:f>Valid_dados!$P$2:$P$5</xm:f>
          </x14:formula1>
          <xm:sqref>E49</xm:sqref>
        </x14:dataValidation>
        <x14:dataValidation type="list" allowBlank="1" showErrorMessage="1" xr:uid="{52C3EF58-4F1E-4BFE-BAD7-4A6AD8556BFE}">
          <x14:formula1>
            <xm:f>Valid_dados!$R$2:$R$5</xm:f>
          </x14:formula1>
          <xm:sqref>E47</xm:sqref>
        </x14:dataValidation>
        <x14:dataValidation type="list" allowBlank="1" showErrorMessage="1" xr:uid="{2E3CD561-4E14-4F44-BFA6-3C702A86D04A}">
          <x14:formula1>
            <xm:f>Valid_dados!$X$2:$X$5</xm:f>
          </x14:formula1>
          <xm:sqref>E95:E96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26"/>
  <sheetViews>
    <sheetView topLeftCell="C139" zoomScale="70" zoomScaleNormal="70" workbookViewId="0">
      <selection activeCell="L149" sqref="L149"/>
    </sheetView>
  </sheetViews>
  <sheetFormatPr defaultColWidth="14.42578125" defaultRowHeight="15" customHeight="1"/>
  <cols>
    <col min="1" max="2" width="3" style="31" customWidth="1"/>
    <col min="3" max="3" width="135.5703125" customWidth="1"/>
    <col min="4" max="4" width="15.42578125" style="36" customWidth="1"/>
    <col min="5" max="7" width="14" style="36" customWidth="1"/>
    <col min="8" max="8" width="21" style="36" customWidth="1"/>
    <col min="9" max="12" width="27.7109375" style="36" customWidth="1"/>
    <col min="13" max="13" width="27.42578125" style="36" customWidth="1"/>
    <col min="14" max="14" width="13.42578125" style="36" customWidth="1"/>
    <col min="15" max="15" width="27.140625" style="31" customWidth="1"/>
    <col min="16" max="19" width="27.5703125" style="41" customWidth="1"/>
    <col min="20" max="20" width="34.85546875" style="36" customWidth="1"/>
    <col min="21" max="21" width="18.7109375" customWidth="1"/>
    <col min="22" max="27" width="8.7109375" hidden="1" customWidth="1"/>
  </cols>
  <sheetData>
    <row r="1" spans="1:22" ht="25.5" customHeight="1">
      <c r="A1" s="33"/>
      <c r="B1" s="33"/>
      <c r="C1" s="55" t="s">
        <v>80</v>
      </c>
      <c r="D1" s="223"/>
      <c r="E1" s="223"/>
      <c r="F1" s="223"/>
      <c r="G1" s="223"/>
      <c r="H1" s="223"/>
      <c r="I1" s="41"/>
      <c r="J1" s="41"/>
      <c r="K1" s="41"/>
      <c r="L1" s="223"/>
      <c r="M1" s="41"/>
      <c r="N1" s="41"/>
      <c r="O1" s="32"/>
      <c r="Q1" s="223"/>
      <c r="R1" s="223"/>
      <c r="S1" s="223"/>
    </row>
    <row r="2" spans="1:22" ht="25.5" customHeight="1">
      <c r="A2" s="33"/>
      <c r="B2" s="33"/>
      <c r="D2" s="223"/>
      <c r="E2" s="223"/>
      <c r="F2" s="223"/>
      <c r="G2" s="223"/>
      <c r="H2" s="223" t="str">
        <f>IF(I20=2,IF((D6+G8+G7)&lt;N13,"OK","NÃO"),IF((D6+E8+E7)&lt;N13,"OK","NÃO"))</f>
        <v>OK</v>
      </c>
      <c r="I2" s="41"/>
      <c r="J2" s="41"/>
      <c r="K2" s="41"/>
      <c r="L2" s="223"/>
      <c r="M2" s="41"/>
      <c r="N2" s="41"/>
      <c r="O2" s="32"/>
      <c r="Q2" s="223"/>
      <c r="R2" s="223"/>
      <c r="S2" s="223"/>
    </row>
    <row r="3" spans="1:22" ht="25.5" customHeight="1">
      <c r="A3" s="33"/>
      <c r="B3" s="33"/>
      <c r="C3" s="56"/>
      <c r="D3" s="34"/>
      <c r="E3" s="223"/>
      <c r="F3" s="223"/>
      <c r="G3" s="223"/>
      <c r="H3" s="223"/>
      <c r="I3" s="41"/>
      <c r="J3" s="41"/>
      <c r="K3" s="41"/>
      <c r="L3" s="223"/>
      <c r="M3" s="41"/>
      <c r="N3" s="41"/>
      <c r="O3" s="32"/>
      <c r="Q3" s="223"/>
      <c r="R3" s="223"/>
      <c r="S3" s="223"/>
    </row>
    <row r="4" spans="1:22" ht="25.5" customHeight="1">
      <c r="A4" s="33"/>
      <c r="B4" s="33"/>
      <c r="C4" s="114"/>
      <c r="D4" s="74"/>
      <c r="E4" s="74"/>
      <c r="F4" s="74"/>
      <c r="G4" s="74"/>
      <c r="H4" s="74"/>
      <c r="I4" s="115"/>
      <c r="J4" s="115"/>
      <c r="K4" s="115"/>
      <c r="L4" s="74"/>
      <c r="M4" s="115"/>
      <c r="N4" s="115"/>
      <c r="O4" s="71"/>
      <c r="P4" s="115"/>
      <c r="Q4" s="74"/>
      <c r="R4" s="74"/>
      <c r="S4" s="74"/>
      <c r="T4" s="116"/>
    </row>
    <row r="5" spans="1:22" ht="25.5" customHeight="1">
      <c r="A5" s="33"/>
      <c r="B5" s="33"/>
      <c r="C5" s="117"/>
      <c r="D5" s="118" t="s">
        <v>81</v>
      </c>
      <c r="E5" s="118" t="s">
        <v>82</v>
      </c>
      <c r="F5" s="118" t="s">
        <v>83</v>
      </c>
      <c r="G5" s="118" t="s">
        <v>84</v>
      </c>
      <c r="H5" s="118" t="s">
        <v>85</v>
      </c>
      <c r="I5" s="118" t="s">
        <v>86</v>
      </c>
      <c r="J5" s="118" t="s">
        <v>87</v>
      </c>
      <c r="K5" s="119" t="s">
        <v>8</v>
      </c>
      <c r="L5" s="119" t="s">
        <v>9</v>
      </c>
      <c r="M5" s="119" t="s">
        <v>10</v>
      </c>
      <c r="N5" s="120" t="s">
        <v>88</v>
      </c>
      <c r="O5" s="42"/>
      <c r="Q5" s="38"/>
      <c r="S5" s="223"/>
      <c r="T5" s="223"/>
      <c r="U5" s="223"/>
      <c r="V5" s="112"/>
    </row>
    <row r="6" spans="1:22" ht="25.5" customHeight="1">
      <c r="A6" s="33"/>
      <c r="B6" s="33"/>
      <c r="C6" s="121" t="s">
        <v>89</v>
      </c>
      <c r="D6" s="43">
        <f>N6*2/3</f>
        <v>0</v>
      </c>
      <c r="E6" s="43">
        <f>N6*1/4</f>
        <v>0</v>
      </c>
      <c r="F6" s="43">
        <f>N6*1/3</f>
        <v>0</v>
      </c>
      <c r="G6" s="43">
        <f>N6*1/5</f>
        <v>0</v>
      </c>
      <c r="H6" s="43">
        <f>N6*1/2</f>
        <v>0</v>
      </c>
      <c r="I6" s="43">
        <f>N6*1/8</f>
        <v>0</v>
      </c>
      <c r="J6" s="43">
        <f>N6*1/6</f>
        <v>0</v>
      </c>
      <c r="K6" s="58">
        <f>Questionario!C8</f>
        <v>0</v>
      </c>
      <c r="L6" s="58">
        <f>Questionario!D8</f>
        <v>0</v>
      </c>
      <c r="M6" s="58">
        <f>Questionario!E8</f>
        <v>0</v>
      </c>
      <c r="N6" s="59">
        <f>M6+(L6*30)+(K6*360)</f>
        <v>0</v>
      </c>
      <c r="O6" s="42" t="str">
        <f>""&amp;K6&amp;" anos "&amp;L6&amp;" meses "&amp;M6&amp;" dias"</f>
        <v>0 anos 0 meses 0 dias</v>
      </c>
      <c r="P6" s="41">
        <f>M6+(L6*30)+(K6*360)</f>
        <v>0</v>
      </c>
      <c r="Q6" s="38"/>
      <c r="S6" s="223"/>
      <c r="T6" s="223"/>
      <c r="U6" s="223"/>
      <c r="V6" s="112"/>
    </row>
    <row r="7" spans="1:22" ht="25.5" customHeight="1">
      <c r="A7" s="33"/>
      <c r="B7" s="33"/>
      <c r="C7" s="121" t="s">
        <v>90</v>
      </c>
      <c r="D7" s="43">
        <f>N7*2/3</f>
        <v>0</v>
      </c>
      <c r="E7" s="43">
        <f>N7*1/4</f>
        <v>0</v>
      </c>
      <c r="F7" s="43">
        <f>N7*1/3</f>
        <v>0</v>
      </c>
      <c r="G7" s="43">
        <f>N7*1/5</f>
        <v>0</v>
      </c>
      <c r="H7" s="43">
        <f>N7*1/2</f>
        <v>0</v>
      </c>
      <c r="I7" s="43">
        <f t="shared" ref="I7:I8" si="0">N7*1/8</f>
        <v>0</v>
      </c>
      <c r="J7" s="43">
        <f>N7*1/6</f>
        <v>0</v>
      </c>
      <c r="K7" s="58">
        <f>Questionario!C9</f>
        <v>0</v>
      </c>
      <c r="L7" s="58">
        <f>Questionario!D9</f>
        <v>0</v>
      </c>
      <c r="M7" s="58">
        <f>Questionario!E9</f>
        <v>0</v>
      </c>
      <c r="N7" s="59">
        <f>M7+(L7*30)+(K7*360)</f>
        <v>0</v>
      </c>
      <c r="O7" s="42" t="str">
        <f>""&amp;K7&amp;" anos "&amp;L7&amp;" meses "&amp;M7&amp;" dias"</f>
        <v>0 anos 0 meses 0 dias</v>
      </c>
      <c r="P7" s="41">
        <f>M7+(L7*30)+(K7*360)</f>
        <v>0</v>
      </c>
      <c r="Q7" s="38"/>
      <c r="S7" s="223"/>
      <c r="T7" s="223"/>
      <c r="U7" s="223"/>
      <c r="V7" s="112"/>
    </row>
    <row r="8" spans="1:22" ht="25.5" customHeight="1">
      <c r="A8" s="33"/>
      <c r="B8" s="33"/>
      <c r="C8" s="121" t="s">
        <v>91</v>
      </c>
      <c r="D8" s="43">
        <f>N8*2/3</f>
        <v>0</v>
      </c>
      <c r="E8" s="43">
        <f>N8*1/4</f>
        <v>0</v>
      </c>
      <c r="F8" s="43">
        <f>N8*1/3</f>
        <v>0</v>
      </c>
      <c r="G8" s="43">
        <f>N8*1/5</f>
        <v>0</v>
      </c>
      <c r="H8" s="43">
        <f>N8*1/2</f>
        <v>0</v>
      </c>
      <c r="I8" s="43">
        <f t="shared" si="0"/>
        <v>0</v>
      </c>
      <c r="J8" s="43">
        <f>N8*1/6</f>
        <v>0</v>
      </c>
      <c r="K8" s="58">
        <f>Questionario!C10</f>
        <v>0</v>
      </c>
      <c r="L8" s="58">
        <f>Questionario!D10</f>
        <v>0</v>
      </c>
      <c r="M8" s="58">
        <f>Questionario!E10</f>
        <v>0</v>
      </c>
      <c r="N8" s="59">
        <f>M8+(L8*30)+(K8*360)</f>
        <v>0</v>
      </c>
      <c r="O8" s="42" t="str">
        <f>""&amp;K8&amp;" anos "&amp;L8&amp;" meses "&amp;M8&amp;" dias"</f>
        <v>0 anos 0 meses 0 dias</v>
      </c>
      <c r="P8" s="41">
        <f>M8+(L8*30)+(K8*360)</f>
        <v>0</v>
      </c>
      <c r="Q8" s="38"/>
      <c r="S8" s="223"/>
      <c r="T8" s="223"/>
      <c r="U8" s="223"/>
      <c r="V8" s="112"/>
    </row>
    <row r="9" spans="1:22" ht="25.5" customHeight="1">
      <c r="A9" s="33"/>
      <c r="B9" s="33"/>
      <c r="C9" s="121" t="s">
        <v>92</v>
      </c>
      <c r="D9" s="43"/>
      <c r="E9" s="43"/>
      <c r="F9" s="43"/>
      <c r="G9" s="43"/>
      <c r="H9" s="43"/>
      <c r="I9" s="43"/>
      <c r="J9" s="43"/>
      <c r="K9" s="122">
        <f>IF(SUM(M6:M8)&lt;=30,IF(SUM(L6:L8)&lt;=11,SUM(K6:K8),IF(SUM(L6:L8)&lt;=23,SUM(K6:K8)+1,IF(SUM(L6:L8)&lt;=35,SUM(K6:K8)+2,SUM(K6:K8)+3))),
IF(SUM(M6:M8)&lt;=60,IF(SUM(L6:L8)+1&lt;=11,SUM(K6:K8),IF(SUM(L6:L8)+1&lt;=23,SUM(K6:K8)+1,IF(SUM(L6:L8)+1&lt;=35,SUM(K6:K8)+2,SUM(K6:K8)+3))),
IF(SUM(M6:M8)&lt;=90,IF(SUM(L6:L8)+2&lt;=11,SUM(K6:K8),IF(SUM(L6:L8)+2&lt;=23,SUM(K6:K8)+1,IF(SUM(L6:L8)+2&lt;=35,SUM(K6:K8)+2,SUM(K6:K8)+3))),
"ERRO")))</f>
        <v>0</v>
      </c>
      <c r="L9" s="122">
        <f>IF(SUM(M6:M8)&lt;=30,(IF(SUM(L6:L8)&lt;=11,SUM(L6:L8),IF(SUM(L6:L8)&lt;=23,SUM(L6:L8)-12,IF(SUM(L6:L8)&lt;=35,SUM(L6:L8)-24,SUM(L6:L8)-36)))),
IF(SUM(M6:M8)&lt;=60,(IF(SUM(L6:L8)+1&lt;=11,SUM(L6:L8)+1,IF(SUM(L6:L8)+1&lt;=23,SUM(L6:L8)+1-12,IF(SUM(L6:L8)+1&lt;=35,SUM(L6:L8)+1-24,SUM(L6:L8)+1-36)))),
IF(SUM(M6:M8)&lt;=90,(IF(SUM(L6:L8)+2&lt;=11,SUM(L6:L8)+2,IF(SUM(L6:L8)+2&lt;=23,SUM(L6:L8)+2-12,IF(SUM(L6:L8)+2&lt;=35,SUM(L6:L8)+2-24,SUM(L6:L8)+2-36)))),"ERRO")))</f>
        <v>0</v>
      </c>
      <c r="M9" s="122">
        <f>IF(SUM(M6:M8)&lt;=30,SUM(M6:M8),
IF(SUM(M6:M8)&lt;=60,SUM(M6:M8)-30,
IF(SUM(M6:M8)&lt;=90,SUM(M6:M8)-60,
"ERRO")))</f>
        <v>0</v>
      </c>
      <c r="N9" s="60">
        <f>SUM(N6:N8)</f>
        <v>0</v>
      </c>
      <c r="O9" s="42" t="str">
        <f>""&amp;K9&amp;" anos "&amp;L9&amp;" meses "&amp;M9&amp;" dias"</f>
        <v>0 anos 0 meses 0 dias</v>
      </c>
      <c r="P9" s="45">
        <f>SUM(P6:P8)</f>
        <v>0</v>
      </c>
      <c r="Q9" s="38"/>
      <c r="S9" s="223"/>
      <c r="T9" s="223"/>
      <c r="U9" s="223"/>
      <c r="V9" s="112"/>
    </row>
    <row r="10" spans="1:22" ht="25.5" customHeight="1">
      <c r="A10" s="33"/>
      <c r="B10" s="33"/>
      <c r="C10" s="121"/>
      <c r="D10" s="43"/>
      <c r="E10" s="43"/>
      <c r="F10" s="43"/>
      <c r="G10" s="43"/>
      <c r="H10" s="43"/>
      <c r="I10" s="43"/>
      <c r="J10" s="43"/>
      <c r="K10" s="46"/>
      <c r="L10" s="46"/>
      <c r="M10" s="46"/>
      <c r="N10" s="44"/>
      <c r="O10" s="42"/>
      <c r="Q10" s="38"/>
      <c r="S10" s="223"/>
      <c r="T10" s="223"/>
      <c r="U10" s="223"/>
      <c r="V10" s="112"/>
    </row>
    <row r="11" spans="1:22" ht="25.5" customHeight="1">
      <c r="A11" s="33"/>
      <c r="B11" s="33"/>
      <c r="C11" s="121" t="s">
        <v>93</v>
      </c>
      <c r="D11" s="43"/>
      <c r="E11" s="43"/>
      <c r="F11" s="43"/>
      <c r="G11" s="43"/>
      <c r="H11" s="43"/>
      <c r="I11" s="43"/>
      <c r="J11" s="43"/>
      <c r="K11" s="223">
        <f>Questionario!C15</f>
        <v>5</v>
      </c>
      <c r="L11" s="223">
        <f>Questionario!D15</f>
        <v>6</v>
      </c>
      <c r="M11" s="223">
        <f>Questionario!E15</f>
        <v>0</v>
      </c>
      <c r="N11" s="44">
        <f>M11+(L11*30)+(K11*360)</f>
        <v>1980</v>
      </c>
      <c r="O11" s="42" t="str">
        <f>""&amp;K11&amp;" anos "&amp;L11&amp;" meses "&amp;M11&amp;" dias"</f>
        <v>5 anos 6 meses 0 dias</v>
      </c>
      <c r="P11" s="47">
        <f>M11+(L11*30)+(K11*360)</f>
        <v>1980</v>
      </c>
      <c r="Q11" s="38"/>
      <c r="S11" s="223"/>
      <c r="T11" s="223"/>
      <c r="U11" s="223"/>
      <c r="V11" s="112"/>
    </row>
    <row r="12" spans="1:22" ht="25.5" customHeight="1">
      <c r="A12" s="33"/>
      <c r="B12" s="33"/>
      <c r="C12" s="121" t="s">
        <v>94</v>
      </c>
      <c r="D12" s="43"/>
      <c r="E12" s="43"/>
      <c r="F12" s="43"/>
      <c r="G12" s="43"/>
      <c r="H12" s="43"/>
      <c r="I12" s="43"/>
      <c r="J12" s="43"/>
      <c r="K12" s="223">
        <f>Questionario!C16</f>
        <v>0</v>
      </c>
      <c r="L12" s="223">
        <f>Questionario!D16</f>
        <v>0</v>
      </c>
      <c r="M12" s="223">
        <f>Questionario!E16</f>
        <v>0</v>
      </c>
      <c r="N12" s="44">
        <f>M12+(L12*30)+(K12*360)</f>
        <v>0</v>
      </c>
      <c r="O12" s="42" t="str">
        <f>""&amp;K12&amp;" anos "&amp;L12&amp;" meses "&amp;M12&amp;" dias"</f>
        <v>0 anos 0 meses 0 dias</v>
      </c>
      <c r="P12" s="47">
        <f>M12+(L12*30)+(K12*360)</f>
        <v>0</v>
      </c>
      <c r="Q12" s="38"/>
      <c r="S12" s="223"/>
      <c r="T12" s="223"/>
      <c r="U12" s="223"/>
      <c r="V12" s="112"/>
    </row>
    <row r="13" spans="1:22" ht="25.5" customHeight="1">
      <c r="A13" s="33"/>
      <c r="B13" s="33"/>
      <c r="C13" s="121" t="s">
        <v>95</v>
      </c>
      <c r="D13" s="43"/>
      <c r="E13" s="43"/>
      <c r="F13" s="43"/>
      <c r="G13" s="43"/>
      <c r="H13" s="43"/>
      <c r="I13" s="43"/>
      <c r="J13" s="43"/>
      <c r="K13" s="122">
        <f>IF(SUM(M11:M12)&lt;=30,IF(SUM(L11:L12)&lt;=11,SUM(K11:K12),IF(SUM(L11:L12)&lt;=23,SUM(K11:K12)+1,IF(SUM(L11:L12)&lt;=35,SUM(K11:K12)+2,SUM(K11:K12)+3))),
IF(SUM(M11:M12)&lt;=60,IF(SUM(L11:L12)+1&lt;=11,SUM(K11:K12),IF(SUM(L11:L12)+1&lt;=23,SUM(K11:K12)+1,IF(SUM(L11:L12)+1&lt;=35,SUM(K11:K12)+2,SUM(K11:K12)+3))),
IF(SUM(M11:M12)&lt;=90,IF(SUM(L11:L12)+2&lt;=11,SUM(K11:K12),IF(SUM(L11:L12)+2&lt;=23,SUM(K11:K12)+1,IF(SUM(L11:L12)+2&lt;=35,SUM(K11:K12)+2,SUM(K11:K12)+3))),
"ERRO")))</f>
        <v>5</v>
      </c>
      <c r="L13" s="122">
        <f>IF(SUM(M11:M12)&lt;=30,(IF(SUM(L11:L12)&lt;=11,SUM(L11:L12),IF(SUM(L11:L12)&lt;=23,SUM(L11:L12)-12,IF(SUM(L11:L12)&lt;=35,SUM(L11:L12)-24,SUM(L11:L12)-36)))),
IF(SUM(M11:M12)&lt;=60,(IF(SUM(L11:L12)+1&lt;=11,SUM(L11:L12)+1,IF(SUM(L11:L12)+1&lt;=23,SUM(L11:L12)+1-12,IF(SUM(L11:L12)+1&lt;=35,SUM(L11:L12)+1-24,SUM(L11:L12)+1-36)))),
IF(SUM(M11:M12)&lt;=90,(IF(SUM(L11:L12)+2&lt;=11,SUM(L11:L12)+2,IF(SUM(L11:L12)+2&lt;=23,SUM(L11:L12)+2-12,IF(SUM(L11:L12)+2&lt;=35,SUM(L11:L12)+2-24,SUM(L11:L12)+2-36)))),"ERRO")))</f>
        <v>6</v>
      </c>
      <c r="M13" s="122">
        <f>IF(SUM(M11:M12)&lt;=30,SUM(M11:M12),
IF(SUM(M11:M12)&lt;=60,SUM(M11:M12)-30,
IF(SUM(M11:M12)&lt;=90,SUM(M11:M12)-60,
"ERRO")))</f>
        <v>0</v>
      </c>
      <c r="N13" s="60">
        <f>SUM(N10:N12)</f>
        <v>1980</v>
      </c>
      <c r="O13" s="42" t="str">
        <f>""&amp;K13&amp;" anos "&amp;L13&amp;" meses "&amp;M13&amp;" dias"</f>
        <v>5 anos 6 meses 0 dias</v>
      </c>
      <c r="P13" s="45">
        <f>SUM(P10:P12)</f>
        <v>1980</v>
      </c>
      <c r="Q13" s="38"/>
      <c r="S13" s="223"/>
      <c r="T13" s="223"/>
      <c r="U13" s="223"/>
      <c r="V13" s="112"/>
    </row>
    <row r="14" spans="1:22" ht="25.5" customHeight="1">
      <c r="A14" s="33"/>
      <c r="B14" s="33"/>
      <c r="C14" s="121" t="s">
        <v>96</v>
      </c>
      <c r="D14" s="43"/>
      <c r="E14" s="43"/>
      <c r="F14" s="43"/>
      <c r="G14" s="43"/>
      <c r="H14" s="43"/>
      <c r="I14" s="43"/>
      <c r="J14" s="43"/>
      <c r="K14" s="48">
        <f>N14/360</f>
        <v>0</v>
      </c>
      <c r="L14" s="48">
        <f>((N14/360)-ROUNDDOWN((N14/360),0))*12</f>
        <v>0</v>
      </c>
      <c r="M14" s="48">
        <f>((((N14/360)-ROUNDDOWN((N14/360),0))*12)-ROUNDDOWN((((N14/360)-ROUNDDOWN((N14/360),0))*12),0))*30</f>
        <v>0</v>
      </c>
      <c r="N14" s="44">
        <f>IF(N13-D6&gt;=P7+P8,P7+P8,N13-D6)</f>
        <v>0</v>
      </c>
      <c r="O14" s="42" t="str">
        <f>IF(N14&gt;0,""&amp;ROUNDDOWN(K14,0)&amp;" anos "&amp;ROUNDDOWN(L14,0)&amp;" meses "&amp;ROUND(M14,0)&amp;" dias","Sem pena cumprida")</f>
        <v>Sem pena cumprida</v>
      </c>
      <c r="P14" s="47">
        <f>IF(P13-D6&gt;=P7+P8,P7+P8,P13-D6)</f>
        <v>0</v>
      </c>
      <c r="Q14" s="38"/>
      <c r="S14" s="223"/>
      <c r="T14" s="223"/>
      <c r="U14" s="223"/>
      <c r="V14" s="112"/>
    </row>
    <row r="15" spans="1:22" ht="25.5" customHeight="1">
      <c r="A15" s="33"/>
      <c r="B15" s="33"/>
      <c r="C15" s="62" t="s">
        <v>97</v>
      </c>
      <c r="D15" s="43"/>
      <c r="E15" s="43"/>
      <c r="F15" s="43"/>
      <c r="G15" s="43"/>
      <c r="H15" s="43"/>
      <c r="I15" s="43"/>
      <c r="J15" s="43"/>
      <c r="K15" s="48">
        <f>N15/360</f>
        <v>0</v>
      </c>
      <c r="L15" s="48">
        <f>((N15/360)-ROUNDDOWN((N15/360),0))*12</f>
        <v>0</v>
      </c>
      <c r="M15" s="48">
        <f>((((N15/360)-ROUNDDOWN((N15/360),0))*12)-ROUNDDOWN((((N15/360)-ROUNDDOWN((N15/360),0))*12),0))*30</f>
        <v>0</v>
      </c>
      <c r="N15" s="44">
        <f>IF(N13&lt;D6,N13,D6)</f>
        <v>0</v>
      </c>
      <c r="O15" s="42" t="str">
        <f>""&amp;ROUNDDOWN(K15,0)&amp;" anos "&amp;ROUNDDOWN(L15,0)&amp;" meses "&amp;ROUND(M15,0)&amp;" dias"</f>
        <v>0 anos 0 meses 0 dias</v>
      </c>
      <c r="P15" s="47">
        <f>IF(P13&lt;D6,P13,D6)</f>
        <v>0</v>
      </c>
      <c r="Q15" s="38"/>
      <c r="S15" s="223"/>
      <c r="T15" s="223"/>
      <c r="U15" s="223"/>
      <c r="V15" s="112"/>
    </row>
    <row r="16" spans="1:22" ht="25.5" customHeight="1">
      <c r="A16" s="33"/>
      <c r="B16" s="33"/>
      <c r="C16" s="123" t="s">
        <v>98</v>
      </c>
      <c r="D16" s="43"/>
      <c r="E16" s="43"/>
      <c r="F16" s="43"/>
      <c r="G16" s="43"/>
      <c r="H16" s="43"/>
      <c r="I16" s="43"/>
      <c r="J16" s="43"/>
      <c r="K16" s="48">
        <f>N16/360</f>
        <v>-5.5</v>
      </c>
      <c r="L16" s="48">
        <f>((N16/360)-ROUNDDOWN((N16/360),0))*12</f>
        <v>-6</v>
      </c>
      <c r="M16" s="48">
        <f>((((N16/360)-ROUNDDOWN((N16/360),0))*12)-ROUNDDOWN((((N16/360)-ROUNDDOWN((N16/360),0))*12),0))*30</f>
        <v>0</v>
      </c>
      <c r="N16" s="44">
        <f>N9-N13</f>
        <v>-1980</v>
      </c>
      <c r="O16" s="42" t="str">
        <f>""&amp;ROUNDDOWN(K16,0)&amp;" anos "&amp;ROUNDDOWN(L16,0)&amp;" meses "&amp;ROUND(M16,0)&amp;" dias"</f>
        <v>-5 anos -6 meses 0 dias</v>
      </c>
      <c r="P16" s="47">
        <f>P9-P13</f>
        <v>-1980</v>
      </c>
      <c r="Q16" s="38"/>
      <c r="S16" s="223"/>
      <c r="T16" s="223"/>
      <c r="U16" s="223"/>
      <c r="V16" s="112"/>
    </row>
    <row r="17" spans="1:22" ht="25.5" customHeight="1">
      <c r="A17" s="33"/>
      <c r="B17" s="33"/>
      <c r="C17" s="121" t="s">
        <v>99</v>
      </c>
      <c r="D17" s="43"/>
      <c r="E17" s="43"/>
      <c r="F17" s="43"/>
      <c r="G17" s="43"/>
      <c r="H17" s="43"/>
      <c r="I17" s="43"/>
      <c r="J17" s="43"/>
      <c r="K17" s="48">
        <f>N17/360</f>
        <v>-5.5</v>
      </c>
      <c r="L17" s="48">
        <f>((N17/360)-ROUNDDOWN((N17/360),0))*12</f>
        <v>-6</v>
      </c>
      <c r="M17" s="48">
        <f>((((N17/360)-ROUNDDOWN((N17/360),0))*12)-ROUNDDOWN((((N17/360)-ROUNDDOWN((N17/360),0))*12),0))*30</f>
        <v>0</v>
      </c>
      <c r="N17" s="44">
        <f>(N9-N6)-(N13-D6)</f>
        <v>-1980</v>
      </c>
      <c r="O17" s="42" t="str">
        <f>IF(N17&gt;0,""&amp;ROUNDDOWN(K17,0)&amp;" anos "&amp;ROUNDDOWN(L17,0)&amp;" meses "&amp;ROUND(M17,0)&amp;" dias","Sem pena remanescente")</f>
        <v>Sem pena remanescente</v>
      </c>
      <c r="P17" s="45">
        <f>(P9-P6)-(P13-D6)</f>
        <v>-1980</v>
      </c>
      <c r="Q17" s="38"/>
      <c r="S17" s="223"/>
      <c r="T17" s="223"/>
      <c r="U17" s="223"/>
      <c r="V17" s="112"/>
    </row>
    <row r="18" spans="1:22" s="81" customFormat="1" ht="25.5" customHeight="1">
      <c r="A18" s="75"/>
      <c r="B18" s="75"/>
      <c r="C18" s="101" t="s">
        <v>100</v>
      </c>
      <c r="D18" s="77"/>
      <c r="E18" s="77"/>
      <c r="F18" s="77"/>
      <c r="G18" s="77"/>
      <c r="H18" s="77"/>
      <c r="I18" s="78">
        <f>IF(Questionario!E113="SIM",1,IF(Questionario!E113="NÃO",2,IF(Questionario!E113="não se aplica",3,"Erro")))</f>
        <v>1</v>
      </c>
      <c r="J18" s="78"/>
      <c r="K18" s="78"/>
      <c r="L18" s="77"/>
      <c r="M18" s="79"/>
      <c r="N18" s="80"/>
      <c r="O18" s="107"/>
      <c r="P18" s="80"/>
      <c r="Q18" s="77"/>
      <c r="R18" s="77"/>
      <c r="S18" s="77"/>
      <c r="T18" s="80"/>
      <c r="U18" s="109"/>
    </row>
    <row r="19" spans="1:22" s="81" customFormat="1" ht="25.5" customHeight="1">
      <c r="A19" s="75"/>
      <c r="B19" s="75"/>
      <c r="C19" s="101"/>
      <c r="D19" s="77"/>
      <c r="E19" s="77"/>
      <c r="F19" s="77"/>
      <c r="G19" s="77"/>
      <c r="H19" s="77"/>
      <c r="I19" s="80"/>
      <c r="J19" s="80"/>
      <c r="K19" s="80"/>
      <c r="L19" s="77"/>
      <c r="M19" s="80"/>
      <c r="N19" s="80"/>
      <c r="O19" s="107"/>
      <c r="P19" s="80"/>
      <c r="Q19" s="77"/>
      <c r="R19" s="77"/>
      <c r="S19" s="77"/>
      <c r="T19" s="80"/>
      <c r="U19" s="109"/>
    </row>
    <row r="20" spans="1:22" s="81" customFormat="1" ht="25.5" customHeight="1">
      <c r="A20" s="75"/>
      <c r="B20" s="75"/>
      <c r="C20" s="101" t="s">
        <v>101</v>
      </c>
      <c r="D20" s="77"/>
      <c r="E20" s="77"/>
      <c r="F20" s="77"/>
      <c r="G20" s="77"/>
      <c r="H20" s="77"/>
      <c r="I20" s="78">
        <f>IF(Questionario!E35="SIM",1,IF(Questionario!E35="NÃO",2,"Erro"))</f>
        <v>2</v>
      </c>
      <c r="J20" s="80"/>
      <c r="K20" s="80"/>
      <c r="L20" s="77"/>
      <c r="M20" s="80"/>
      <c r="N20" s="80"/>
      <c r="O20" s="107"/>
      <c r="P20" s="80"/>
      <c r="Q20" s="77"/>
      <c r="R20" s="77"/>
      <c r="S20" s="77"/>
      <c r="T20" s="80"/>
      <c r="U20" s="109"/>
    </row>
    <row r="21" spans="1:22" s="81" customFormat="1" ht="25.5" customHeight="1">
      <c r="A21" s="75"/>
      <c r="B21" s="75"/>
      <c r="C21" s="101" t="s">
        <v>48</v>
      </c>
      <c r="D21" s="77"/>
      <c r="E21" s="77"/>
      <c r="F21" s="77"/>
      <c r="G21" s="77"/>
      <c r="H21" s="77"/>
      <c r="I21" s="78">
        <f>IF(Questionario!E63="SIM",1,IF(Questionario!E63="NÃO",2,"Erro"))</f>
        <v>2</v>
      </c>
      <c r="J21" s="80"/>
      <c r="K21" s="80"/>
      <c r="L21" s="77"/>
      <c r="M21" s="80"/>
      <c r="N21" s="80"/>
      <c r="O21" s="107"/>
      <c r="P21" s="80"/>
      <c r="Q21" s="77"/>
      <c r="R21" s="77"/>
      <c r="S21" s="77"/>
      <c r="T21" s="80"/>
      <c r="U21" s="109"/>
    </row>
    <row r="22" spans="1:22" s="81" customFormat="1" ht="25.5" customHeight="1">
      <c r="A22" s="75"/>
      <c r="B22" s="75"/>
      <c r="C22" s="101" t="s">
        <v>102</v>
      </c>
      <c r="D22" s="77"/>
      <c r="E22" s="77"/>
      <c r="F22" s="77"/>
      <c r="G22" s="77"/>
      <c r="H22" s="77"/>
      <c r="I22" s="78">
        <f>IF(Questionario!E65="SIM",1,IF(Questionario!E65="NÃO",2,"Erro"))</f>
        <v>2</v>
      </c>
      <c r="J22" s="80"/>
      <c r="K22" s="80"/>
      <c r="L22" s="77"/>
      <c r="M22" s="80"/>
      <c r="N22" s="80"/>
      <c r="O22" s="107"/>
      <c r="P22" s="80"/>
      <c r="Q22" s="77"/>
      <c r="R22" s="77"/>
      <c r="S22" s="77"/>
      <c r="T22" s="80"/>
      <c r="U22" s="109"/>
    </row>
    <row r="23" spans="1:22" s="81" customFormat="1" ht="25.5" customHeight="1">
      <c r="A23" s="75"/>
      <c r="B23" s="75"/>
      <c r="C23" s="101" t="s">
        <v>103</v>
      </c>
      <c r="D23" s="77"/>
      <c r="E23" s="77"/>
      <c r="F23" s="77"/>
      <c r="G23" s="77"/>
      <c r="H23" s="77"/>
      <c r="I23" s="78">
        <f>IF(Questionario!E67="SIM",1,IF(Questionario!E67="NÃO",2,"Erro"))</f>
        <v>2</v>
      </c>
      <c r="J23" s="80"/>
      <c r="K23" s="80"/>
      <c r="L23" s="77"/>
      <c r="M23" s="80"/>
      <c r="N23" s="80"/>
      <c r="O23" s="107"/>
      <c r="P23" s="80"/>
      <c r="Q23" s="77"/>
      <c r="R23" s="77"/>
      <c r="S23" s="77"/>
      <c r="T23" s="80"/>
      <c r="U23" s="109"/>
    </row>
    <row r="24" spans="1:22" s="81" customFormat="1" ht="25.5" customHeight="1">
      <c r="A24" s="75"/>
      <c r="B24" s="75"/>
      <c r="C24" s="101" t="s">
        <v>104</v>
      </c>
      <c r="D24" s="77"/>
      <c r="E24" s="77"/>
      <c r="F24" s="77"/>
      <c r="G24" s="77"/>
      <c r="H24" s="77"/>
      <c r="I24" s="78">
        <f>IF(Questionario!E69="SIM",1,IF(Questionario!E69="NÃO",2,"Erro"))</f>
        <v>2</v>
      </c>
      <c r="J24" s="80"/>
      <c r="K24" s="80"/>
      <c r="L24" s="77"/>
      <c r="M24" s="80"/>
      <c r="N24" s="80"/>
      <c r="O24" s="107"/>
      <c r="P24" s="80"/>
      <c r="Q24" s="77"/>
      <c r="R24" s="77"/>
      <c r="S24" s="77"/>
      <c r="T24" s="80"/>
      <c r="U24" s="109"/>
    </row>
    <row r="25" spans="1:22" s="81" customFormat="1" ht="25.5" customHeight="1">
      <c r="A25" s="75"/>
      <c r="B25" s="75"/>
      <c r="C25" s="101" t="s">
        <v>105</v>
      </c>
      <c r="D25" s="77"/>
      <c r="E25" s="77"/>
      <c r="F25" s="77"/>
      <c r="G25" s="77"/>
      <c r="H25" s="77"/>
      <c r="I25" s="82">
        <f>Questionario!E61</f>
        <v>0</v>
      </c>
      <c r="J25" s="80"/>
      <c r="K25" s="80"/>
      <c r="L25" s="77"/>
      <c r="M25" s="80"/>
      <c r="N25" s="80"/>
      <c r="O25" s="107"/>
      <c r="P25" s="80"/>
      <c r="Q25" s="77"/>
      <c r="R25" s="77"/>
      <c r="S25" s="77"/>
      <c r="T25" s="80"/>
      <c r="U25" s="109"/>
    </row>
    <row r="26" spans="1:22" s="81" customFormat="1" ht="101.25" customHeight="1">
      <c r="A26" s="75"/>
      <c r="B26" s="75"/>
      <c r="C26" s="104" t="s">
        <v>53</v>
      </c>
      <c r="D26" s="77"/>
      <c r="E26" s="77"/>
      <c r="F26" s="77"/>
      <c r="G26" s="77"/>
      <c r="H26" s="77"/>
      <c r="I26" s="78">
        <f>IF(Questionario!E73="SIM",1,IF(Questionario!E73="NÃO",2,"Erro"))</f>
        <v>2</v>
      </c>
      <c r="J26" s="80"/>
      <c r="K26" s="80"/>
      <c r="L26" s="77"/>
      <c r="M26" s="80"/>
      <c r="N26" s="80"/>
      <c r="O26" s="107"/>
      <c r="P26" s="80"/>
      <c r="Q26" s="77"/>
      <c r="R26" s="77"/>
      <c r="S26" s="77"/>
      <c r="T26" s="80"/>
      <c r="U26" s="109"/>
    </row>
    <row r="27" spans="1:22" s="81" customFormat="1" ht="25.5" customHeight="1">
      <c r="A27" s="75"/>
      <c r="B27" s="75"/>
      <c r="C27" s="288" t="s">
        <v>36</v>
      </c>
      <c r="D27" s="124" t="s">
        <v>8</v>
      </c>
      <c r="E27" s="124" t="s">
        <v>9</v>
      </c>
      <c r="F27" s="124" t="s">
        <v>10</v>
      </c>
      <c r="G27" s="77"/>
      <c r="H27" s="77"/>
      <c r="I27" s="78"/>
      <c r="J27" s="80"/>
      <c r="K27" s="80"/>
      <c r="L27" s="77"/>
      <c r="M27" s="80"/>
      <c r="N27" s="80"/>
      <c r="O27" s="107"/>
      <c r="P27" s="80"/>
      <c r="Q27" s="77"/>
      <c r="R27" s="77"/>
      <c r="S27" s="77"/>
      <c r="T27" s="80"/>
      <c r="U27" s="109"/>
    </row>
    <row r="28" spans="1:22" s="81" customFormat="1" ht="25.5" customHeight="1">
      <c r="A28" s="75"/>
      <c r="B28" s="75"/>
      <c r="C28" s="288"/>
      <c r="D28" s="125" t="str">
        <f>Questionario!C40</f>
        <v>0</v>
      </c>
      <c r="E28" s="125" t="str">
        <f>Questionario!D40</f>
        <v>0</v>
      </c>
      <c r="F28" s="125" t="str">
        <f>Questionario!E40</f>
        <v>0</v>
      </c>
      <c r="G28" s="126"/>
      <c r="H28" s="77"/>
      <c r="I28" s="80">
        <f>F28+(E28*30)+(D28*360)</f>
        <v>0</v>
      </c>
      <c r="J28" s="80"/>
      <c r="K28" s="80"/>
      <c r="L28" s="80"/>
      <c r="M28" s="77"/>
      <c r="N28" s="80"/>
      <c r="O28" s="80"/>
      <c r="P28" s="107"/>
      <c r="Q28" s="80"/>
      <c r="R28" s="77"/>
      <c r="S28" s="77"/>
      <c r="T28" s="77"/>
      <c r="U28" s="113"/>
    </row>
    <row r="29" spans="1:22" s="81" customFormat="1" ht="25.5" customHeight="1">
      <c r="A29" s="75"/>
      <c r="B29" s="75"/>
      <c r="C29" s="282" t="s">
        <v>38</v>
      </c>
      <c r="D29" s="124" t="s">
        <v>8</v>
      </c>
      <c r="E29" s="124" t="s">
        <v>9</v>
      </c>
      <c r="F29" s="124" t="s">
        <v>10</v>
      </c>
      <c r="G29" s="126"/>
      <c r="H29" s="77"/>
      <c r="I29" s="80"/>
      <c r="J29" s="80"/>
      <c r="K29" s="80"/>
      <c r="L29" s="80"/>
      <c r="M29" s="77"/>
      <c r="N29" s="80"/>
      <c r="O29" s="80"/>
      <c r="P29" s="107"/>
      <c r="Q29" s="80"/>
      <c r="R29" s="77"/>
      <c r="S29" s="77"/>
      <c r="T29" s="77"/>
      <c r="U29" s="105"/>
    </row>
    <row r="30" spans="1:22" s="81" customFormat="1" ht="25.5" customHeight="1" thickBot="1">
      <c r="A30" s="75"/>
      <c r="B30" s="75"/>
      <c r="C30" s="283"/>
      <c r="D30" s="125" t="str">
        <f>Questionario!C43</f>
        <v>0</v>
      </c>
      <c r="E30" s="125" t="str">
        <f>Questionario!D43</f>
        <v>0</v>
      </c>
      <c r="F30" s="125" t="str">
        <f>Questionario!E43</f>
        <v>0</v>
      </c>
      <c r="G30" s="126"/>
      <c r="H30" s="77"/>
      <c r="I30" s="80">
        <f>F30+(E30*30)+(D30*360)</f>
        <v>0</v>
      </c>
      <c r="J30" s="80"/>
      <c r="K30" s="80"/>
      <c r="L30" s="80"/>
      <c r="M30" s="77"/>
      <c r="N30" s="80"/>
      <c r="O30" s="80"/>
      <c r="P30" s="107"/>
      <c r="Q30" s="80"/>
      <c r="R30" s="77"/>
      <c r="S30" s="77"/>
      <c r="T30" s="77"/>
      <c r="U30" s="105"/>
    </row>
    <row r="31" spans="1:22" s="81" customFormat="1" ht="25.5" customHeight="1" thickTop="1">
      <c r="A31" s="75"/>
      <c r="B31" s="75"/>
      <c r="C31" s="88" t="s">
        <v>106</v>
      </c>
      <c r="D31" s="77"/>
      <c r="E31" s="77"/>
      <c r="F31" s="77"/>
      <c r="G31" s="77"/>
      <c r="H31" s="77"/>
      <c r="I31" s="78">
        <f>IF(Questionario!E31="feminino",1,IF(Questionario!E31="masculino",2,"Erro"))</f>
        <v>2</v>
      </c>
      <c r="J31" s="80"/>
      <c r="K31" s="80"/>
      <c r="L31" s="77"/>
      <c r="M31" s="80"/>
      <c r="N31" s="80"/>
      <c r="O31" s="107"/>
      <c r="P31" s="80"/>
      <c r="Q31" s="77"/>
      <c r="R31" s="77"/>
      <c r="S31" s="77"/>
      <c r="T31" s="80"/>
      <c r="U31" s="109"/>
    </row>
    <row r="32" spans="1:22" s="81" customFormat="1" ht="25.5" customHeight="1">
      <c r="A32" s="75"/>
      <c r="B32" s="75"/>
      <c r="C32" s="197" t="s">
        <v>54</v>
      </c>
      <c r="D32" s="197"/>
      <c r="E32" s="197"/>
      <c r="F32" s="77"/>
      <c r="G32" s="77"/>
      <c r="H32" s="77"/>
      <c r="I32" s="198">
        <f>IF(Questionario!E75="SIM",1,IF(Questionario!E75="NÃO",2,"Erro"))</f>
        <v>2</v>
      </c>
      <c r="J32" s="80"/>
      <c r="K32" s="80"/>
      <c r="L32" s="77"/>
      <c r="M32" s="80"/>
      <c r="N32" s="80"/>
      <c r="O32" s="107"/>
      <c r="P32" s="80"/>
      <c r="Q32" s="77"/>
      <c r="R32" s="77"/>
      <c r="S32" s="77"/>
      <c r="T32" s="80"/>
      <c r="U32" s="109"/>
    </row>
    <row r="33" spans="1:27" s="81" customFormat="1" ht="25.5" customHeight="1">
      <c r="A33" s="75"/>
      <c r="B33" s="75"/>
      <c r="C33" s="197" t="s">
        <v>55</v>
      </c>
      <c r="D33" s="197"/>
      <c r="E33" s="197"/>
      <c r="F33" s="77"/>
      <c r="G33" s="77"/>
      <c r="H33" s="77"/>
      <c r="I33" s="198">
        <f>IF(Questionario!E77="SIM",1,IF(Questionario!E77="NÃO",2,"Erro"))</f>
        <v>2</v>
      </c>
      <c r="J33" s="80"/>
      <c r="K33" s="80"/>
      <c r="L33" s="77"/>
      <c r="M33" s="80"/>
      <c r="N33" s="80"/>
      <c r="O33" s="107"/>
      <c r="P33" s="80"/>
      <c r="Q33" s="77"/>
      <c r="R33" s="77"/>
      <c r="S33" s="77"/>
      <c r="T33" s="80"/>
      <c r="U33" s="109"/>
    </row>
    <row r="34" spans="1:27" s="81" customFormat="1" ht="25.5" customHeight="1">
      <c r="A34" s="75"/>
      <c r="B34" s="75"/>
      <c r="C34" s="197" t="s">
        <v>56</v>
      </c>
      <c r="D34" s="197"/>
      <c r="E34" s="197"/>
      <c r="F34" s="77"/>
      <c r="G34" s="77"/>
      <c r="H34" s="77"/>
      <c r="I34" s="198">
        <f>IF(Questionario!E79="SIM",1,IF(Questionario!E79="NÃO",2,"Erro"))</f>
        <v>2</v>
      </c>
      <c r="J34" s="80"/>
      <c r="K34" s="80"/>
      <c r="L34" s="77"/>
      <c r="M34" s="80"/>
      <c r="N34" s="80"/>
      <c r="O34" s="107"/>
      <c r="P34" s="80"/>
      <c r="Q34" s="77"/>
      <c r="R34" s="77"/>
      <c r="S34" s="77"/>
      <c r="T34" s="80"/>
      <c r="U34" s="109"/>
    </row>
    <row r="35" spans="1:27" s="81" customFormat="1" ht="25.5" customHeight="1">
      <c r="A35" s="75"/>
      <c r="B35" s="75"/>
      <c r="C35" s="197" t="s">
        <v>57</v>
      </c>
      <c r="D35" s="197"/>
      <c r="E35" s="197"/>
      <c r="F35" s="77"/>
      <c r="G35" s="77"/>
      <c r="H35" s="77"/>
      <c r="I35" s="198">
        <f>IF(Questionario!E81="SIM",1,IF(Questionario!E81="NÃO",2,"Erro"))</f>
        <v>2</v>
      </c>
      <c r="J35" s="80"/>
      <c r="K35" s="80"/>
      <c r="L35" s="77"/>
      <c r="M35" s="80"/>
      <c r="N35" s="80"/>
      <c r="O35" s="107"/>
      <c r="P35" s="80"/>
      <c r="Q35" s="77"/>
      <c r="R35" s="77"/>
      <c r="S35" s="77"/>
      <c r="T35" s="80"/>
      <c r="U35" s="109"/>
    </row>
    <row r="36" spans="1:27" s="81" customFormat="1" ht="25.5" customHeight="1">
      <c r="A36" s="75"/>
      <c r="B36" s="75"/>
      <c r="C36" s="197" t="s">
        <v>58</v>
      </c>
      <c r="D36" s="197"/>
      <c r="E36" s="197"/>
      <c r="F36" s="77"/>
      <c r="G36" s="77"/>
      <c r="H36" s="77"/>
      <c r="I36" s="198">
        <f>IF(Questionario!E83="SIM",1,IF(Questionario!E83="NÃO",2,"Erro"))</f>
        <v>2</v>
      </c>
      <c r="J36" s="80"/>
      <c r="K36" s="80"/>
      <c r="L36" s="77"/>
      <c r="M36" s="80"/>
      <c r="N36" s="80"/>
      <c r="O36" s="107"/>
      <c r="P36" s="80"/>
      <c r="Q36" s="77"/>
      <c r="R36" s="77"/>
      <c r="S36" s="77"/>
      <c r="T36" s="80"/>
      <c r="U36" s="109"/>
    </row>
    <row r="37" spans="1:27" s="81" customFormat="1" ht="25.5" customHeight="1">
      <c r="A37" s="75"/>
      <c r="B37" s="75"/>
      <c r="C37" s="197" t="s">
        <v>107</v>
      </c>
      <c r="D37" s="197"/>
      <c r="E37" s="197"/>
      <c r="F37" s="77"/>
      <c r="G37" s="77"/>
      <c r="H37" s="77"/>
      <c r="I37" s="198">
        <f>IF(Questionario!E85="SIM",1,IF(Questionario!E85="NÃO",2,"Erro"))</f>
        <v>2</v>
      </c>
      <c r="J37" s="80"/>
      <c r="K37" s="80"/>
      <c r="L37" s="77"/>
      <c r="M37" s="80"/>
      <c r="N37" s="80"/>
      <c r="O37" s="107"/>
      <c r="P37" s="80"/>
      <c r="Q37" s="77"/>
      <c r="R37" s="77"/>
      <c r="S37" s="77"/>
      <c r="T37" s="80"/>
      <c r="U37" s="109"/>
    </row>
    <row r="38" spans="1:27" s="81" customFormat="1" ht="25.5" hidden="1" customHeight="1">
      <c r="A38" s="75"/>
      <c r="B38" s="75"/>
      <c r="C38" s="101" t="s">
        <v>108</v>
      </c>
      <c r="D38" s="77"/>
      <c r="E38" s="77"/>
      <c r="F38" s="77"/>
      <c r="G38" s="77"/>
      <c r="H38" s="77"/>
      <c r="I38" s="78" t="e">
        <f>IF(Questionario!#REF!="SIM",1,IF(Questionario!#REF!="NÃO",2,"Erro"))</f>
        <v>#REF!</v>
      </c>
      <c r="J38" s="80"/>
      <c r="K38" s="80"/>
      <c r="L38" s="77"/>
      <c r="M38" s="80"/>
      <c r="N38" s="80"/>
      <c r="O38" s="107"/>
      <c r="P38" s="80"/>
      <c r="Q38" s="77"/>
      <c r="R38" s="77"/>
      <c r="S38" s="77"/>
      <c r="T38" s="80"/>
      <c r="U38" s="103"/>
      <c r="V38" s="76"/>
      <c r="W38" s="76"/>
      <c r="X38" s="76"/>
      <c r="Y38" s="76"/>
      <c r="Z38" s="76"/>
      <c r="AA38" s="76"/>
    </row>
    <row r="39" spans="1:27" s="81" customFormat="1" ht="25.5" hidden="1" customHeight="1">
      <c r="A39" s="75"/>
      <c r="B39" s="75"/>
      <c r="C39" s="101" t="s">
        <v>109</v>
      </c>
      <c r="D39" s="77"/>
      <c r="E39" s="77"/>
      <c r="F39" s="77"/>
      <c r="G39" s="77"/>
      <c r="H39" s="77"/>
      <c r="I39" s="78" t="e">
        <f>IF(Questionario!#REF!="SIM",1,IF(Questionario!#REF!="NÃO",2,"Erro"))</f>
        <v>#REF!</v>
      </c>
      <c r="J39" s="80"/>
      <c r="K39" s="80"/>
      <c r="L39" s="77"/>
      <c r="M39" s="80"/>
      <c r="N39" s="80"/>
      <c r="O39" s="107"/>
      <c r="P39" s="80"/>
      <c r="Q39" s="77"/>
      <c r="R39" s="77"/>
      <c r="S39" s="77"/>
      <c r="T39" s="80"/>
      <c r="U39" s="103"/>
      <c r="V39" s="76"/>
      <c r="W39" s="76"/>
      <c r="X39" s="76"/>
      <c r="Y39" s="76"/>
      <c r="Z39" s="76"/>
      <c r="AA39" s="76"/>
    </row>
    <row r="40" spans="1:27" s="81" customFormat="1" ht="25.5" customHeight="1">
      <c r="A40" s="75"/>
      <c r="B40" s="75"/>
      <c r="C40" s="101" t="s">
        <v>110</v>
      </c>
      <c r="D40" s="77"/>
      <c r="E40" s="77"/>
      <c r="F40" s="77"/>
      <c r="G40" s="77"/>
      <c r="H40" s="77"/>
      <c r="I40" s="78" t="e">
        <f>IF(Questionario!#REF!="SIM",1,IF(Questionario!#REF!="NÃO",2,"Erro"))</f>
        <v>#REF!</v>
      </c>
      <c r="J40" s="80"/>
      <c r="K40" s="80" t="str">
        <f>IF(OR(I33=1,(AND(I34=1,I35=1)),(AND(I36=1,I37=1))),"OK","NÃO")</f>
        <v>NÃO</v>
      </c>
      <c r="L40" s="77"/>
      <c r="M40" s="80"/>
      <c r="N40" s="80"/>
      <c r="O40" s="107"/>
      <c r="P40" s="80"/>
      <c r="Q40" s="77"/>
      <c r="R40" s="77"/>
      <c r="S40" s="77"/>
      <c r="T40" s="80"/>
      <c r="U40" s="103"/>
      <c r="V40" s="76"/>
      <c r="W40" s="76"/>
      <c r="X40" s="76"/>
      <c r="Y40" s="76"/>
      <c r="Z40" s="76"/>
      <c r="AA40" s="76"/>
    </row>
    <row r="41" spans="1:27" s="81" customFormat="1" ht="25.5" customHeight="1">
      <c r="A41" s="75"/>
      <c r="B41" s="75"/>
      <c r="C41" s="101" t="s">
        <v>111</v>
      </c>
      <c r="D41" s="77"/>
      <c r="E41" s="77"/>
      <c r="F41" s="77"/>
      <c r="G41" s="77"/>
      <c r="H41" s="77"/>
      <c r="I41" s="78">
        <f>IF(Questionario!E87="SIM",1,IF(Questionario!E87="NÃO",2,"Erro"))</f>
        <v>2</v>
      </c>
      <c r="J41" s="80"/>
      <c r="K41" s="80"/>
      <c r="L41" s="77"/>
      <c r="M41" s="80"/>
      <c r="N41" s="80"/>
      <c r="O41" s="107"/>
      <c r="P41" s="80"/>
      <c r="Q41" s="77"/>
      <c r="R41" s="77"/>
      <c r="S41" s="77"/>
      <c r="T41" s="80"/>
      <c r="U41" s="103"/>
      <c r="V41" s="76"/>
      <c r="W41" s="76"/>
      <c r="X41" s="76"/>
      <c r="Y41" s="76"/>
      <c r="Z41" s="76"/>
      <c r="AA41" s="76"/>
    </row>
    <row r="42" spans="1:27" s="81" customFormat="1" ht="25.5" customHeight="1">
      <c r="A42" s="75"/>
      <c r="B42" s="75"/>
      <c r="C42" s="101" t="s">
        <v>112</v>
      </c>
      <c r="D42" s="77"/>
      <c r="E42" s="77"/>
      <c r="F42" s="77"/>
      <c r="G42" s="77"/>
      <c r="H42" s="77"/>
      <c r="I42" s="78">
        <f>IF(Questionario!E89="SIM",1,IF(Questionario!E89="NÃO",2,"Erro"))</f>
        <v>2</v>
      </c>
      <c r="J42" s="80"/>
      <c r="K42" s="80"/>
      <c r="L42" s="77"/>
      <c r="M42" s="80"/>
      <c r="N42" s="80"/>
      <c r="O42" s="107"/>
      <c r="P42" s="80"/>
      <c r="Q42" s="77"/>
      <c r="R42" s="77"/>
      <c r="S42" s="77"/>
      <c r="T42" s="80"/>
      <c r="U42" s="103"/>
      <c r="V42" s="76"/>
      <c r="W42" s="76"/>
      <c r="X42" s="76"/>
      <c r="Y42" s="76"/>
      <c r="Z42" s="76"/>
      <c r="AA42" s="76"/>
    </row>
    <row r="43" spans="1:27" s="81" customFormat="1" ht="31.5" customHeight="1">
      <c r="A43" s="75"/>
      <c r="B43" s="75"/>
      <c r="C43" s="83" t="s">
        <v>113</v>
      </c>
      <c r="D43" s="77"/>
      <c r="E43" s="77"/>
      <c r="F43" s="77"/>
      <c r="G43" s="77"/>
      <c r="H43" s="77"/>
      <c r="I43" s="78">
        <f>IF(Questionario!E91="SIM",1,IF(Questionario!E91="NÃO",2,"Erro"))</f>
        <v>2</v>
      </c>
      <c r="J43" s="80"/>
      <c r="K43" s="80"/>
      <c r="L43" s="77"/>
      <c r="M43" s="80"/>
      <c r="N43" s="80"/>
      <c r="O43" s="107"/>
      <c r="P43" s="80"/>
      <c r="Q43" s="77"/>
      <c r="R43" s="77"/>
      <c r="S43" s="77"/>
      <c r="T43" s="80"/>
      <c r="U43" s="103"/>
      <c r="V43" s="76"/>
      <c r="W43" s="76"/>
      <c r="X43" s="76"/>
      <c r="Y43" s="76"/>
      <c r="Z43" s="76"/>
      <c r="AA43" s="76"/>
    </row>
    <row r="44" spans="1:27" s="81" customFormat="1" ht="57" customHeight="1">
      <c r="A44" s="75"/>
      <c r="B44" s="75"/>
      <c r="C44" s="83" t="s">
        <v>114</v>
      </c>
      <c r="D44" s="77"/>
      <c r="E44" s="77"/>
      <c r="F44" s="77"/>
      <c r="G44" s="77"/>
      <c r="H44" s="77"/>
      <c r="I44" s="78">
        <f>IF(Questionario!E71="SIM",1,IF(Questionario!E71="NÃO",2,"Erro"))</f>
        <v>2</v>
      </c>
      <c r="J44" s="80"/>
      <c r="K44" s="80"/>
      <c r="L44" s="77"/>
      <c r="M44" s="80"/>
      <c r="N44" s="80"/>
      <c r="O44" s="107"/>
      <c r="P44" s="80"/>
      <c r="Q44" s="77"/>
      <c r="R44" s="77"/>
      <c r="S44" s="77"/>
      <c r="T44" s="80"/>
      <c r="U44" s="103"/>
      <c r="V44" s="76"/>
      <c r="W44" s="76"/>
      <c r="X44" s="76"/>
      <c r="Y44" s="76"/>
      <c r="Z44" s="76"/>
      <c r="AA44" s="76"/>
    </row>
    <row r="45" spans="1:27" s="81" customFormat="1" ht="60">
      <c r="A45" s="75"/>
      <c r="B45" s="75"/>
      <c r="C45" s="83" t="s">
        <v>115</v>
      </c>
      <c r="D45" s="77"/>
      <c r="E45" s="77"/>
      <c r="F45" s="77"/>
      <c r="G45" s="77"/>
      <c r="H45" s="77"/>
      <c r="I45" s="78">
        <f>IF(Questionario!E51="SIM",1,IF(Questionario!E51="NÃO",2,"Erro"))</f>
        <v>2</v>
      </c>
      <c r="J45" s="80"/>
      <c r="K45" s="80"/>
      <c r="L45" s="77"/>
      <c r="M45" s="80"/>
      <c r="N45" s="80"/>
      <c r="O45" s="107"/>
      <c r="P45" s="80"/>
      <c r="Q45" s="77"/>
      <c r="R45" s="77"/>
      <c r="S45" s="77"/>
      <c r="T45" s="80"/>
      <c r="U45" s="103"/>
      <c r="V45" s="76"/>
      <c r="W45" s="76"/>
      <c r="X45" s="76"/>
      <c r="Y45" s="76"/>
      <c r="Z45" s="76"/>
      <c r="AA45" s="76"/>
    </row>
    <row r="46" spans="1:27" s="81" customFormat="1" ht="30.75" customHeight="1">
      <c r="A46" s="75"/>
      <c r="B46" s="75"/>
      <c r="C46" s="83" t="s">
        <v>116</v>
      </c>
      <c r="D46" s="77"/>
      <c r="E46" s="77"/>
      <c r="F46" s="77"/>
      <c r="G46" s="77"/>
      <c r="H46" s="77"/>
      <c r="I46" s="78">
        <f>IF(Questionario!E99="SIM",1,IF(Questionario!E99="NÃO",2,"Erro"))</f>
        <v>2</v>
      </c>
      <c r="J46" s="80"/>
      <c r="K46" s="80"/>
      <c r="L46" s="77"/>
      <c r="M46" s="80"/>
      <c r="N46" s="80"/>
      <c r="O46" s="107"/>
      <c r="P46" s="80"/>
      <c r="Q46" s="77"/>
      <c r="R46" s="77"/>
      <c r="S46" s="77"/>
      <c r="T46" s="80"/>
      <c r="U46" s="103"/>
      <c r="V46" s="76"/>
      <c r="W46" s="76"/>
      <c r="X46" s="76"/>
      <c r="Y46" s="76"/>
      <c r="Z46" s="76"/>
      <c r="AA46" s="76"/>
    </row>
    <row r="47" spans="1:27" s="81" customFormat="1" ht="30.75" customHeight="1">
      <c r="A47" s="75"/>
      <c r="B47" s="75"/>
      <c r="C47" s="83" t="s">
        <v>117</v>
      </c>
      <c r="D47" s="77"/>
      <c r="E47" s="77"/>
      <c r="F47" s="77"/>
      <c r="G47" s="77"/>
      <c r="H47" s="77"/>
      <c r="I47" s="78">
        <f>IF(Questionario!E55="SIM",1,IF(Questionario!E55="NÃO",2,"Erro"))</f>
        <v>2</v>
      </c>
      <c r="J47" s="80"/>
      <c r="K47" s="80"/>
      <c r="L47" s="77"/>
      <c r="M47" s="80"/>
      <c r="N47" s="80"/>
      <c r="O47" s="107"/>
      <c r="P47" s="80"/>
      <c r="Q47" s="77"/>
      <c r="R47" s="77"/>
      <c r="S47" s="77"/>
      <c r="T47" s="80"/>
      <c r="U47" s="103"/>
      <c r="V47" s="76"/>
      <c r="W47" s="76"/>
      <c r="X47" s="76"/>
      <c r="Y47" s="76"/>
      <c r="Z47" s="76"/>
      <c r="AA47" s="76"/>
    </row>
    <row r="48" spans="1:27" s="81" customFormat="1" ht="30.75" customHeight="1">
      <c r="A48" s="75"/>
      <c r="B48" s="75"/>
      <c r="C48" s="83"/>
      <c r="D48" s="77"/>
      <c r="E48" s="77"/>
      <c r="F48" s="77"/>
      <c r="G48" s="77"/>
      <c r="H48" s="77"/>
      <c r="I48" s="78"/>
      <c r="J48" s="80"/>
      <c r="K48" s="80"/>
      <c r="L48" s="77"/>
      <c r="M48" s="80"/>
      <c r="N48" s="80"/>
      <c r="O48" s="107"/>
      <c r="P48" s="80"/>
      <c r="Q48" s="77"/>
      <c r="R48" s="77"/>
      <c r="S48" s="77"/>
      <c r="T48" s="80"/>
      <c r="U48" s="103"/>
      <c r="V48" s="76"/>
      <c r="W48" s="76"/>
      <c r="X48" s="76"/>
      <c r="Y48" s="76"/>
      <c r="Z48" s="76"/>
      <c r="AA48" s="76"/>
    </row>
    <row r="49" spans="1:21" s="81" customFormat="1" ht="25.5" customHeight="1">
      <c r="A49" s="75"/>
      <c r="B49" s="75"/>
      <c r="C49" s="102" t="s">
        <v>118</v>
      </c>
      <c r="D49" s="84">
        <f>Questionario!E53</f>
        <v>40537</v>
      </c>
      <c r="E49" s="85">
        <v>46016</v>
      </c>
      <c r="F49" s="86">
        <f>E49-D49</f>
        <v>5479</v>
      </c>
      <c r="G49" s="87" t="str">
        <f>"-   "&amp;DATEDIF(0,F49,"y")&amp;" anos "&amp;DATEDIF(0,F49,"ym")&amp;" meses "&amp;DATEDIF(0,F49,"md")&amp;" dias"</f>
        <v>-   14 anos 11 meses 31 dias</v>
      </c>
      <c r="H49" s="80"/>
      <c r="I49" s="80"/>
      <c r="J49" s="80"/>
      <c r="K49" s="77"/>
      <c r="L49" s="80"/>
      <c r="M49" s="80"/>
      <c r="N49" s="80"/>
      <c r="O49" s="107"/>
      <c r="P49" s="80"/>
      <c r="Q49" s="80"/>
      <c r="R49" s="80"/>
      <c r="S49" s="80"/>
      <c r="T49" s="80"/>
      <c r="U49" s="109"/>
    </row>
    <row r="50" spans="1:21" s="81" customFormat="1" ht="25.5" customHeight="1">
      <c r="A50" s="75"/>
      <c r="B50" s="75"/>
      <c r="C50" s="88"/>
      <c r="D50" s="77"/>
      <c r="E50" s="77"/>
      <c r="F50" s="77"/>
      <c r="G50" s="77"/>
      <c r="H50" s="77"/>
      <c r="I50" s="80"/>
      <c r="J50" s="80"/>
      <c r="K50" s="80"/>
      <c r="L50" s="77"/>
      <c r="M50" s="80"/>
      <c r="N50" s="80"/>
      <c r="O50" s="107"/>
      <c r="P50" s="80"/>
      <c r="Q50" s="77"/>
      <c r="R50" s="77"/>
      <c r="S50" s="77"/>
      <c r="T50" s="80"/>
      <c r="U50" s="109"/>
    </row>
    <row r="51" spans="1:21" s="81" customFormat="1" ht="25.5" customHeight="1">
      <c r="A51" s="75"/>
      <c r="B51" s="75"/>
      <c r="C51" s="101" t="s">
        <v>119</v>
      </c>
      <c r="D51" s="77"/>
      <c r="E51" s="77"/>
      <c r="F51" s="77"/>
      <c r="G51" s="77"/>
      <c r="H51" s="77"/>
      <c r="I51" s="78">
        <f>IF(Questionario!E57="SIM",1,IF(Questionario!E57="NÃO",2,"Erro"))</f>
        <v>2</v>
      </c>
      <c r="J51" s="80"/>
      <c r="K51" s="80"/>
      <c r="L51" s="77"/>
      <c r="M51" s="80"/>
      <c r="N51" s="80"/>
      <c r="O51" s="107"/>
      <c r="P51" s="80"/>
      <c r="Q51" s="77"/>
      <c r="R51" s="77"/>
      <c r="S51" s="77"/>
      <c r="T51" s="80"/>
      <c r="U51" s="109"/>
    </row>
    <row r="52" spans="1:21" s="81" customFormat="1" ht="25.5" customHeight="1">
      <c r="A52" s="75"/>
      <c r="B52" s="75"/>
      <c r="C52" s="101" t="s">
        <v>46</v>
      </c>
      <c r="D52" s="77"/>
      <c r="E52" s="77"/>
      <c r="F52" s="77"/>
      <c r="G52" s="77"/>
      <c r="H52" s="77"/>
      <c r="I52" s="78">
        <f>IF(Questionario!E59="SIM",1,IF(Questionario!E59="NÃO",2,"Erro"))</f>
        <v>2</v>
      </c>
      <c r="J52" s="80"/>
      <c r="K52" s="80"/>
      <c r="L52" s="77"/>
      <c r="M52" s="80"/>
      <c r="N52" s="80"/>
      <c r="O52" s="107"/>
      <c r="P52" s="80"/>
      <c r="Q52" s="77"/>
      <c r="R52" s="77"/>
      <c r="S52" s="77"/>
      <c r="T52" s="80"/>
      <c r="U52" s="109"/>
    </row>
    <row r="53" spans="1:21" s="81" customFormat="1" ht="25.5" customHeight="1">
      <c r="A53" s="75"/>
      <c r="B53" s="75"/>
      <c r="C53" s="88" t="s">
        <v>120</v>
      </c>
      <c r="D53" s="84">
        <f>Questionario!E33</f>
        <v>22089</v>
      </c>
      <c r="E53" s="85">
        <v>46016</v>
      </c>
      <c r="F53" s="86">
        <f>E53-D53</f>
        <v>23927</v>
      </c>
      <c r="G53" s="87" t="str">
        <f>"-   "&amp;DATEDIF(0,F53,"y")&amp;" anos "&amp;DATEDIF(0,F53,"ym")&amp;" meses "&amp;DATEDIF(0,F53,"md")&amp;" dias"</f>
        <v>-   65 anos 6 meses 4 dias</v>
      </c>
      <c r="H53" s="87"/>
      <c r="I53" s="80"/>
      <c r="J53" s="80"/>
      <c r="K53" s="80"/>
      <c r="L53" s="77"/>
      <c r="M53" s="80"/>
      <c r="N53" s="80"/>
      <c r="O53" s="107"/>
      <c r="P53" s="80"/>
      <c r="Q53" s="80"/>
      <c r="R53" s="80"/>
      <c r="S53" s="80"/>
      <c r="T53" s="80"/>
      <c r="U53" s="109"/>
    </row>
    <row r="54" spans="1:21" s="81" customFormat="1" ht="25.5" customHeight="1">
      <c r="A54" s="75"/>
      <c r="B54" s="75"/>
      <c r="C54" s="88"/>
      <c r="D54" s="77"/>
      <c r="E54" s="77"/>
      <c r="F54" s="77"/>
      <c r="G54" s="77"/>
      <c r="H54" s="77"/>
      <c r="I54" s="80"/>
      <c r="J54" s="80"/>
      <c r="K54" s="80"/>
      <c r="L54" s="77"/>
      <c r="M54" s="80"/>
      <c r="N54" s="80"/>
      <c r="O54" s="107"/>
      <c r="P54" s="80"/>
      <c r="Q54" s="77"/>
      <c r="R54" s="77"/>
      <c r="S54" s="77"/>
      <c r="T54" s="80"/>
      <c r="U54" s="109"/>
    </row>
    <row r="55" spans="1:21" s="81" customFormat="1" ht="29.25" customHeight="1">
      <c r="A55" s="75"/>
      <c r="B55" s="75"/>
      <c r="C55" s="88" t="s">
        <v>70</v>
      </c>
      <c r="D55" s="77"/>
      <c r="E55" s="77"/>
      <c r="F55" s="77"/>
      <c r="G55" s="77"/>
      <c r="H55" s="77"/>
      <c r="I55" s="78">
        <f>IF(Questionario!E107="SIM",1,IF(Questionario!E107="NÃO",2,"Erro"))</f>
        <v>2</v>
      </c>
      <c r="J55" s="80"/>
      <c r="K55" s="80"/>
      <c r="L55" s="77"/>
      <c r="M55" s="80"/>
      <c r="N55" s="80"/>
      <c r="O55" s="107"/>
      <c r="P55" s="80"/>
      <c r="Q55" s="77"/>
      <c r="R55" s="77"/>
      <c r="S55" s="77"/>
      <c r="T55" s="80"/>
      <c r="U55" s="109"/>
    </row>
    <row r="56" spans="1:21" s="81" customFormat="1" ht="31.5" customHeight="1">
      <c r="A56" s="75"/>
      <c r="B56" s="75"/>
      <c r="C56" s="83" t="s">
        <v>121</v>
      </c>
      <c r="D56" s="89"/>
      <c r="E56" s="89"/>
      <c r="F56" s="89"/>
      <c r="G56" s="89"/>
      <c r="H56" s="89"/>
      <c r="I56" s="78">
        <f>IF(Questionario!E109="SIM",1,IF(Questionario!E109="NÃO",2,IF(Questionario!E109="não se aplica",3,"Erro")))</f>
        <v>2</v>
      </c>
      <c r="J56" s="80"/>
      <c r="K56" s="80"/>
      <c r="L56" s="77"/>
      <c r="M56" s="80"/>
      <c r="N56" s="80"/>
      <c r="O56" s="107"/>
      <c r="P56" s="80"/>
      <c r="Q56" s="77"/>
      <c r="R56" s="77"/>
      <c r="S56" s="77"/>
      <c r="T56" s="80"/>
      <c r="U56" s="109"/>
    </row>
    <row r="57" spans="1:21" s="81" customFormat="1" ht="25.5" customHeight="1">
      <c r="A57" s="75"/>
      <c r="B57" s="75"/>
      <c r="C57" s="88" t="s">
        <v>122</v>
      </c>
      <c r="D57" s="77"/>
      <c r="E57" s="77"/>
      <c r="F57" s="77"/>
      <c r="G57" s="77"/>
      <c r="H57" s="77"/>
      <c r="I57" s="78">
        <f>IF(Questionario!E111="SIM",1,IF(Questionario!E111="NÃO",2,IF(Questionario!E111="não se aplica",3,"Erro")))</f>
        <v>2</v>
      </c>
      <c r="J57" s="80"/>
      <c r="K57" s="80"/>
      <c r="L57" s="77"/>
      <c r="M57" s="80"/>
      <c r="N57" s="80"/>
      <c r="O57" s="107"/>
      <c r="P57" s="80"/>
      <c r="Q57" s="77"/>
      <c r="R57" s="77"/>
      <c r="S57" s="77"/>
      <c r="T57" s="80"/>
      <c r="U57" s="109"/>
    </row>
    <row r="58" spans="1:21" s="81" customFormat="1" ht="25.5" customHeight="1">
      <c r="A58" s="75"/>
      <c r="B58" s="75"/>
      <c r="C58" s="88"/>
      <c r="D58" s="77"/>
      <c r="E58" s="77"/>
      <c r="F58" s="77"/>
      <c r="G58" s="77"/>
      <c r="H58" s="77"/>
      <c r="I58" s="80"/>
      <c r="J58" s="80"/>
      <c r="K58" s="80"/>
      <c r="L58" s="77"/>
      <c r="M58" s="80"/>
      <c r="N58" s="80"/>
      <c r="O58" s="107"/>
      <c r="P58" s="80"/>
      <c r="Q58" s="77"/>
      <c r="R58" s="77"/>
      <c r="S58" s="77"/>
      <c r="T58" s="80"/>
      <c r="U58" s="109"/>
    </row>
    <row r="59" spans="1:21" s="81" customFormat="1" ht="25.5" customHeight="1">
      <c r="A59" s="75"/>
      <c r="B59" s="75"/>
      <c r="C59" s="88" t="s">
        <v>123</v>
      </c>
      <c r="D59" s="90">
        <f>Questionario!E117</f>
        <v>0</v>
      </c>
      <c r="E59" s="80"/>
      <c r="F59" s="80"/>
      <c r="G59" s="77"/>
      <c r="H59" s="80"/>
      <c r="I59" s="80"/>
      <c r="J59" s="80"/>
      <c r="K59" s="80"/>
      <c r="L59" s="77"/>
      <c r="M59" s="80"/>
      <c r="N59" s="80"/>
      <c r="O59" s="107"/>
      <c r="P59" s="80"/>
      <c r="Q59" s="80"/>
      <c r="R59" s="80"/>
      <c r="S59" s="80"/>
      <c r="T59" s="80"/>
      <c r="U59" s="109"/>
    </row>
    <row r="60" spans="1:21" s="81" customFormat="1" ht="25.5" customHeight="1">
      <c r="A60" s="75"/>
      <c r="B60" s="75"/>
      <c r="C60" s="88" t="s">
        <v>124</v>
      </c>
      <c r="D60" s="77"/>
      <c r="E60" s="77"/>
      <c r="F60" s="77"/>
      <c r="G60" s="77"/>
      <c r="H60" s="77"/>
      <c r="I60" s="78">
        <f>IF(Questionario!E119="SIM",1,IF(Questionario!E119="NÃO",2,"Erro"))</f>
        <v>2</v>
      </c>
      <c r="J60" s="80"/>
      <c r="K60" s="80"/>
      <c r="L60" s="77"/>
      <c r="M60" s="80"/>
      <c r="N60" s="80"/>
      <c r="O60" s="107"/>
      <c r="P60" s="80"/>
      <c r="Q60" s="77"/>
      <c r="R60" s="77"/>
      <c r="S60" s="77"/>
      <c r="T60" s="80"/>
      <c r="U60" s="109"/>
    </row>
    <row r="61" spans="1:21" s="81" customFormat="1" ht="25.5" customHeight="1">
      <c r="A61" s="75"/>
      <c r="B61" s="75"/>
      <c r="C61" s="88"/>
      <c r="D61" s="77"/>
      <c r="E61" s="77"/>
      <c r="F61" s="77"/>
      <c r="G61" s="77"/>
      <c r="H61" s="77"/>
      <c r="I61" s="78"/>
      <c r="J61" s="80"/>
      <c r="K61" s="80"/>
      <c r="L61" s="77"/>
      <c r="M61" s="80"/>
      <c r="N61" s="80"/>
      <c r="O61" s="107"/>
      <c r="P61" s="80"/>
      <c r="Q61" s="77"/>
      <c r="R61" s="77"/>
      <c r="S61" s="77"/>
      <c r="T61" s="80"/>
      <c r="U61" s="109"/>
    </row>
    <row r="62" spans="1:21" s="81" customFormat="1" ht="25.5" customHeight="1">
      <c r="A62" s="75"/>
      <c r="B62" s="75"/>
      <c r="C62" s="101" t="s">
        <v>125</v>
      </c>
      <c r="D62" s="77"/>
      <c r="E62" s="77"/>
      <c r="F62" s="77"/>
      <c r="G62" s="77"/>
      <c r="H62" s="77"/>
      <c r="I62" s="78">
        <f>IF(Questionario!E93="SIM",1,IF(Questionario!E93="NÃO",2,"Erro"))</f>
        <v>2</v>
      </c>
      <c r="J62" s="80"/>
      <c r="K62" s="80"/>
      <c r="L62" s="127"/>
      <c r="M62" s="80"/>
      <c r="N62" s="80"/>
      <c r="O62" s="107"/>
      <c r="P62" s="80"/>
      <c r="Q62" s="77"/>
      <c r="R62" s="77"/>
      <c r="S62" s="77"/>
      <c r="T62" s="80"/>
      <c r="U62" s="109"/>
    </row>
    <row r="63" spans="1:21" s="81" customFormat="1" ht="25.5" customHeight="1">
      <c r="A63" s="75"/>
      <c r="B63" s="75"/>
      <c r="C63" s="101" t="s">
        <v>126</v>
      </c>
      <c r="D63" s="77"/>
      <c r="E63" s="77"/>
      <c r="F63" s="77"/>
      <c r="G63" s="77"/>
      <c r="H63" s="77"/>
      <c r="I63" s="78">
        <f>IF(Questionario!E37="fechado",1,IF(Questionario!E37="semiaberto",2,IF(Questionario!E37="aberto",3,"Erro")))</f>
        <v>1</v>
      </c>
      <c r="J63" s="77"/>
      <c r="K63" s="77"/>
      <c r="L63" s="127" t="s">
        <v>127</v>
      </c>
      <c r="M63" s="77"/>
      <c r="N63" s="80"/>
      <c r="O63" s="89"/>
      <c r="P63" s="77"/>
      <c r="Q63" s="77"/>
      <c r="R63" s="77"/>
      <c r="S63" s="77"/>
      <c r="T63" s="80"/>
      <c r="U63" s="109"/>
    </row>
    <row r="64" spans="1:21" s="81" customFormat="1" ht="25.5" customHeight="1">
      <c r="A64" s="75"/>
      <c r="B64" s="75"/>
      <c r="C64" s="101" t="s">
        <v>128</v>
      </c>
      <c r="D64" s="77"/>
      <c r="E64" s="77"/>
      <c r="F64" s="77"/>
      <c r="G64" s="77"/>
      <c r="H64" s="77"/>
      <c r="I64" s="78">
        <f>IF(Questionario!E45="SIM",1,IF(Questionario!E45="NÃO",2,"Erro"))</f>
        <v>2</v>
      </c>
      <c r="J64" s="77"/>
      <c r="K64" s="77"/>
      <c r="L64" s="128" t="s">
        <v>129</v>
      </c>
      <c r="M64" s="77"/>
      <c r="N64" s="77"/>
      <c r="O64" s="89"/>
      <c r="P64" s="77"/>
      <c r="Q64" s="77"/>
      <c r="R64" s="77"/>
      <c r="S64" s="77"/>
      <c r="T64" s="80"/>
      <c r="U64" s="109"/>
    </row>
    <row r="65" spans="1:27" s="81" customFormat="1" ht="25.5" customHeight="1">
      <c r="A65" s="75"/>
      <c r="B65" s="75"/>
      <c r="C65" s="110" t="s">
        <v>130</v>
      </c>
      <c r="D65" s="77"/>
      <c r="E65" s="77"/>
      <c r="F65" s="77"/>
      <c r="G65" s="77"/>
      <c r="H65" s="77"/>
      <c r="I65" s="78">
        <f>IF(Questionario!E103="SIM",1,IF(Questionario!E103="NÃO",2,"Erro"))</f>
        <v>2</v>
      </c>
      <c r="J65" s="77"/>
      <c r="K65" s="77"/>
      <c r="L65" s="127" t="s">
        <v>131</v>
      </c>
      <c r="M65" s="77"/>
      <c r="N65" s="77"/>
      <c r="O65" s="89"/>
      <c r="P65" s="77"/>
      <c r="Q65" s="77"/>
      <c r="R65" s="77"/>
      <c r="S65" s="77"/>
      <c r="T65" s="80"/>
      <c r="U65" s="109"/>
    </row>
    <row r="66" spans="1:27" s="81" customFormat="1" ht="25.5" customHeight="1">
      <c r="A66" s="75"/>
      <c r="B66" s="75"/>
      <c r="C66" s="83" t="s">
        <v>132</v>
      </c>
      <c r="D66" s="77"/>
      <c r="E66" s="77"/>
      <c r="F66" s="77"/>
      <c r="G66" s="77"/>
      <c r="H66" s="77"/>
      <c r="I66" s="78">
        <f>IF(Questionario!E105="SIM",1,IF(Questionario!E105="NÃO",2,"Erro"))</f>
        <v>2</v>
      </c>
      <c r="J66" s="77"/>
      <c r="K66" s="77"/>
      <c r="L66" s="77"/>
      <c r="M66" s="77"/>
      <c r="N66" s="80"/>
      <c r="O66" s="89"/>
      <c r="P66" s="77"/>
      <c r="Q66" s="77"/>
      <c r="R66" s="77"/>
      <c r="S66" s="77"/>
      <c r="T66" s="80"/>
      <c r="U66" s="109"/>
    </row>
    <row r="67" spans="1:27" s="81" customFormat="1" ht="46.5" customHeight="1">
      <c r="A67" s="75"/>
      <c r="B67" s="75"/>
      <c r="C67" s="83" t="s">
        <v>67</v>
      </c>
      <c r="D67" s="77"/>
      <c r="E67" s="77"/>
      <c r="F67" s="77"/>
      <c r="G67" s="77"/>
      <c r="H67" s="77"/>
      <c r="I67" s="78">
        <f>IF(Questionario!E101="SIM",1,IF(Questionario!E101="NÃO",2,"Erro"))</f>
        <v>2</v>
      </c>
      <c r="J67" s="77"/>
      <c r="K67" s="77"/>
      <c r="L67" s="77"/>
      <c r="M67" s="77"/>
      <c r="N67" s="80"/>
      <c r="O67" s="89"/>
      <c r="P67" s="77"/>
      <c r="Q67" s="77"/>
      <c r="R67" s="77"/>
      <c r="S67" s="77"/>
      <c r="T67" s="80"/>
      <c r="U67" s="109"/>
    </row>
    <row r="68" spans="1:27" s="81" customFormat="1" ht="32.25" customHeight="1">
      <c r="A68" s="75"/>
      <c r="B68" s="75"/>
      <c r="C68" s="129" t="s">
        <v>133</v>
      </c>
      <c r="D68" s="77"/>
      <c r="E68" s="77"/>
      <c r="F68" s="77"/>
      <c r="G68" s="77"/>
      <c r="H68" s="77"/>
      <c r="I68" s="78">
        <f>IF(Questionario!E49="NÃO",1,IF(Questionario!E49="HÁ MENOS DE 01 ANO",2,IF(Questionario!E49="ENTRE 01 E 02 ANOS",3,IF(Questionario!E49="HÁ MAIS DE 02 ANOS",4,"Erro"))))</f>
        <v>1</v>
      </c>
      <c r="J68" s="77"/>
      <c r="K68" s="128"/>
      <c r="L68" s="77"/>
      <c r="M68" s="77"/>
      <c r="N68" s="77"/>
      <c r="O68" s="89"/>
      <c r="P68" s="77"/>
      <c r="Q68" s="77"/>
      <c r="R68" s="77"/>
      <c r="S68" s="77"/>
      <c r="T68" s="80"/>
      <c r="U68" s="109"/>
    </row>
    <row r="69" spans="1:27" s="81" customFormat="1" ht="32.25" customHeight="1">
      <c r="A69" s="75"/>
      <c r="B69" s="75"/>
      <c r="C69" s="129" t="s">
        <v>40</v>
      </c>
      <c r="D69" s="89"/>
      <c r="E69" s="89"/>
      <c r="F69" s="89"/>
      <c r="G69" s="89"/>
      <c r="H69" s="89"/>
      <c r="I69" s="78">
        <f>IF(Questionario!E47="NÃO",1,IF(Questionario!E47="HÁ MENOS DE 01 ANO E 06 MESES",2,IF(Questionario!E47="ENTRE 01 ANO E 06 MESES E 03 ANOS",3,IF(Questionario!E47="HÁ MAIS DE 03 ANOS",4,"Erro"))))</f>
        <v>1</v>
      </c>
      <c r="J69" s="77"/>
      <c r="K69" s="127"/>
      <c r="L69" s="127"/>
      <c r="M69" s="77"/>
      <c r="N69" s="77"/>
      <c r="O69" s="89"/>
      <c r="P69" s="77"/>
      <c r="Q69" s="77"/>
      <c r="R69" s="77"/>
      <c r="S69" s="77"/>
      <c r="T69" s="80"/>
      <c r="U69" s="109"/>
    </row>
    <row r="70" spans="1:27" s="81" customFormat="1" ht="32.25" customHeight="1">
      <c r="A70" s="75"/>
      <c r="B70" s="75"/>
      <c r="C70" s="129" t="s">
        <v>64</v>
      </c>
      <c r="D70" s="89"/>
      <c r="E70" s="89"/>
      <c r="F70" s="89"/>
      <c r="G70" s="89"/>
      <c r="H70" s="89"/>
      <c r="I70" s="78">
        <f>IF(Questionario!E95="NÃO",1,IF(Questionario!E95="MENOS DE 12 MESES",2,IF(Questionario!E95="MAIS DE 12 MESES NOS ÚLTIMOS 3 ANOS",3,IF(Questionario!E95="MAIS DE 18 MESES NOS ÚLTIMOS 5 ANOS",4,"Erro"))))</f>
        <v>1</v>
      </c>
      <c r="J70" s="77"/>
      <c r="K70" s="128"/>
      <c r="L70" s="127"/>
      <c r="M70" s="77"/>
      <c r="N70" s="77"/>
      <c r="O70" s="89"/>
      <c r="P70" s="77"/>
      <c r="Q70" s="77"/>
      <c r="R70" s="77"/>
      <c r="S70" s="77"/>
      <c r="T70" s="80"/>
      <c r="U70" s="109"/>
    </row>
    <row r="71" spans="1:27" s="81" customFormat="1" ht="32.25" customHeight="1">
      <c r="A71" s="75"/>
      <c r="B71" s="75"/>
      <c r="C71" s="129" t="s">
        <v>65</v>
      </c>
      <c r="D71" s="89"/>
      <c r="E71" s="89"/>
      <c r="F71" s="89"/>
      <c r="G71" s="89"/>
      <c r="H71" s="89"/>
      <c r="I71" s="78">
        <f>IF(Questionario!E97="SIM",1,IF(Questionario!E97="NÃO",2,"Erro"))</f>
        <v>2</v>
      </c>
      <c r="J71" s="77"/>
      <c r="K71" s="128"/>
      <c r="L71" s="127"/>
      <c r="M71" s="77"/>
      <c r="N71" s="77"/>
      <c r="O71" s="89"/>
      <c r="P71" s="77"/>
      <c r="Q71" s="77"/>
      <c r="R71" s="77"/>
      <c r="S71" s="77"/>
      <c r="T71" s="80"/>
      <c r="U71" s="109"/>
    </row>
    <row r="72" spans="1:27" s="81" customFormat="1" ht="43.5" customHeight="1">
      <c r="A72" s="75"/>
      <c r="B72" s="75"/>
      <c r="C72" s="224" t="s">
        <v>134</v>
      </c>
      <c r="D72" s="77"/>
      <c r="E72" s="77"/>
      <c r="F72" s="77"/>
      <c r="G72" s="77"/>
      <c r="H72" s="77"/>
      <c r="I72" s="78">
        <f>IF(Questionario!E115="SIM",1,IF(Questionario!E115="NÃO",2,"Erro"))</f>
        <v>1</v>
      </c>
      <c r="J72" s="77"/>
      <c r="K72" s="128"/>
      <c r="L72" s="128"/>
      <c r="M72" s="77"/>
      <c r="N72" s="77"/>
      <c r="O72" s="89"/>
      <c r="P72" s="77"/>
      <c r="Q72" s="77"/>
      <c r="R72" s="77"/>
      <c r="S72" s="77"/>
      <c r="T72" s="80"/>
      <c r="U72" s="109"/>
    </row>
    <row r="73" spans="1:27" ht="28.5" customHeight="1">
      <c r="C73" s="130"/>
      <c r="D73" s="131"/>
      <c r="E73" s="131"/>
      <c r="F73" s="131"/>
      <c r="G73" s="131"/>
      <c r="H73" s="131"/>
      <c r="I73" s="132"/>
      <c r="J73" s="35"/>
      <c r="K73" s="223"/>
      <c r="L73" s="234"/>
      <c r="M73" s="35"/>
      <c r="N73" s="35"/>
      <c r="O73" s="37"/>
      <c r="P73" s="287" t="s">
        <v>135</v>
      </c>
      <c r="Q73" s="287"/>
      <c r="R73" s="287"/>
      <c r="S73" s="287"/>
      <c r="T73" s="287"/>
      <c r="U73" s="68"/>
    </row>
    <row r="74" spans="1:27" s="81" customFormat="1" ht="156.75" customHeight="1">
      <c r="A74" s="76"/>
      <c r="B74" s="103"/>
      <c r="C74" s="101"/>
      <c r="D74" s="159"/>
      <c r="E74" s="104" t="s">
        <v>136</v>
      </c>
      <c r="F74" s="104" t="s">
        <v>137</v>
      </c>
      <c r="G74" s="104" t="s">
        <v>138</v>
      </c>
      <c r="H74" s="104" t="s">
        <v>139</v>
      </c>
      <c r="I74" s="104" t="s">
        <v>140</v>
      </c>
      <c r="J74" s="104" t="s">
        <v>141</v>
      </c>
      <c r="K74" s="83" t="s">
        <v>142</v>
      </c>
      <c r="L74" s="101"/>
      <c r="M74" s="101"/>
      <c r="N74" s="101"/>
      <c r="O74" s="160"/>
      <c r="P74" s="104" t="s">
        <v>143</v>
      </c>
      <c r="Q74" s="83" t="s">
        <v>144</v>
      </c>
      <c r="R74" s="83" t="s">
        <v>145</v>
      </c>
      <c r="S74" s="83"/>
      <c r="T74" s="101"/>
      <c r="U74" s="103"/>
      <c r="V74" s="76"/>
      <c r="W74" s="76"/>
      <c r="X74" s="76"/>
      <c r="Y74" s="76"/>
      <c r="Z74" s="76"/>
      <c r="AA74" s="76"/>
    </row>
    <row r="75" spans="1:27" s="135" customFormat="1" ht="144.75" customHeight="1">
      <c r="A75" s="136"/>
      <c r="B75" s="137"/>
      <c r="C75" s="224" t="s">
        <v>146</v>
      </c>
      <c r="D75" s="138"/>
      <c r="E75" s="139" t="str">
        <f>IF(I22=1,"NÃO",IF(I23=1,"NÃO",IF(I24=1,"NÃO",IF(I51=1,"NÃO",IF(I21=1,"NÃO","OK")))))</f>
        <v>OK</v>
      </c>
      <c r="F75" s="139" t="str">
        <f>IF(N9&lt;=8*360,"OK","NÃO")</f>
        <v>OK</v>
      </c>
      <c r="G75" s="140" t="str">
        <f>IF(I18=1,"OK",IF(I18=3,"OK","NÃO"))</f>
        <v>OK</v>
      </c>
      <c r="H75" s="140" t="str">
        <f>IF(N6=0,"OK",IF(N13&gt;=(N6*2/3),"OK","NÃO"))</f>
        <v>OK</v>
      </c>
      <c r="I75" s="140" t="str">
        <f>IF(I20=2,IF((D6+G8+G7)&lt;=(N13),"OK","NÃO"),IF((D6+F8+F7)&lt;=(N13),"OK","NÃO"))</f>
        <v>OK</v>
      </c>
      <c r="J75" s="140" t="str">
        <f>IF(N8=0,"NÃO","OK")</f>
        <v>NÃO</v>
      </c>
      <c r="K75" s="139" t="str">
        <f>IF(I72=1,"OK",IF(I72=3,"OK","NÃO"))</f>
        <v>OK</v>
      </c>
      <c r="L75" s="139"/>
      <c r="M75" s="139"/>
      <c r="N75" s="139"/>
      <c r="O75" s="141" t="str">
        <f>IF(SUM(E76:K76)=7,"Preenche os requisitos","Não preenche os requisitos")</f>
        <v>Não preenche os requisitos</v>
      </c>
      <c r="P75" s="140" t="str">
        <f>IF(OR(D53&lt;=DATE(2025-60,12,25),I32=1,I33=1,I34=1,I36=1,I41=1,I42=1,I44=1,I45=1),"OK","NÃO")</f>
        <v>OK</v>
      </c>
      <c r="Q75" s="141" t="str">
        <f>IF(I46=2,"OK","NÃO")</f>
        <v>OK</v>
      </c>
      <c r="R75" s="141" t="str">
        <f>IF(I20=2,IF(((D6+G8/2+G7/2))&lt;=(N13),"OK","NÃO"),IF(((D6+F8/2+F7/2))&lt;=(N13),"OK","NÃO"))</f>
        <v>OK</v>
      </c>
      <c r="S75" s="141"/>
      <c r="T75" s="141" t="str">
        <f>IF(SUM(E76+F76+G76+H76+J76+K76+P76+Q76+R76)=9,"Preenche os requisitos","Não preenche os requisitos")</f>
        <v>Não preenche os requisitos</v>
      </c>
      <c r="U75" s="134"/>
      <c r="V75" s="133"/>
      <c r="W75" s="133"/>
      <c r="X75" s="133"/>
      <c r="Y75" s="133"/>
      <c r="Z75" s="133"/>
      <c r="AA75" s="142"/>
    </row>
    <row r="76" spans="1:27" s="135" customFormat="1" ht="135.75" customHeight="1">
      <c r="A76" s="136"/>
      <c r="B76" s="137"/>
      <c r="C76" s="158"/>
      <c r="D76" s="138"/>
      <c r="E76" s="139">
        <f t="shared" ref="E76:K76" si="1">IF(E75="OK",1,2)</f>
        <v>1</v>
      </c>
      <c r="F76" s="139">
        <f t="shared" si="1"/>
        <v>1</v>
      </c>
      <c r="G76" s="140">
        <f t="shared" si="1"/>
        <v>1</v>
      </c>
      <c r="H76" s="140">
        <f t="shared" si="1"/>
        <v>1</v>
      </c>
      <c r="I76" s="140">
        <f>IF(I75="OK",1,2)</f>
        <v>1</v>
      </c>
      <c r="J76" s="140">
        <f t="shared" si="1"/>
        <v>2</v>
      </c>
      <c r="K76" s="140">
        <f t="shared" si="1"/>
        <v>1</v>
      </c>
      <c r="L76" s="143"/>
      <c r="M76" s="143"/>
      <c r="N76" s="144"/>
      <c r="O76" s="145"/>
      <c r="P76" s="140">
        <f t="shared" ref="P76:R76" si="2">IF(P75="OK",1,2)</f>
        <v>1</v>
      </c>
      <c r="Q76" s="140">
        <f t="shared" si="2"/>
        <v>1</v>
      </c>
      <c r="R76" s="140">
        <f t="shared" si="2"/>
        <v>1</v>
      </c>
      <c r="S76" s="140"/>
      <c r="T76" s="144"/>
      <c r="U76" s="134"/>
      <c r="V76" s="133"/>
      <c r="W76" s="133"/>
      <c r="X76" s="133"/>
      <c r="Y76" s="142"/>
      <c r="Z76" s="133"/>
      <c r="AA76" s="133"/>
    </row>
    <row r="77" spans="1:27" s="81" customFormat="1" ht="144.75" customHeight="1">
      <c r="B77" s="109"/>
      <c r="C77" s="158"/>
      <c r="D77" s="161"/>
      <c r="E77" s="104" t="s">
        <v>136</v>
      </c>
      <c r="F77" s="104" t="s">
        <v>147</v>
      </c>
      <c r="G77" s="104" t="s">
        <v>138</v>
      </c>
      <c r="H77" s="104" t="s">
        <v>139</v>
      </c>
      <c r="I77" s="104" t="s">
        <v>148</v>
      </c>
      <c r="J77" s="162" t="s">
        <v>149</v>
      </c>
      <c r="K77" s="83" t="s">
        <v>142</v>
      </c>
      <c r="L77" s="83"/>
      <c r="M77" s="88"/>
      <c r="N77" s="88"/>
      <c r="O77" s="160"/>
      <c r="P77" s="104" t="s">
        <v>143</v>
      </c>
      <c r="Q77" s="83" t="s">
        <v>144</v>
      </c>
      <c r="R77" s="83" t="s">
        <v>145</v>
      </c>
      <c r="S77" s="83"/>
      <c r="T77" s="88"/>
      <c r="U77" s="109"/>
      <c r="Y77" s="163"/>
    </row>
    <row r="78" spans="1:27" s="135" customFormat="1" ht="31.5" customHeight="1">
      <c r="A78" s="136"/>
      <c r="B78" s="137"/>
      <c r="C78" s="158" t="s">
        <v>150</v>
      </c>
      <c r="D78" s="138"/>
      <c r="E78" s="139" t="str">
        <f>IF(I22=1,"NÃO",IF(I23=1,"NÃO",IF(I24=1,"NÃO",IF(I51=1,"NÃO",IF(I21=1,"NÃO","OK")))))</f>
        <v>OK</v>
      </c>
      <c r="F78" s="139" t="str">
        <f>IF(AND(N9&lt;=12*360),"OK","NÃO")</f>
        <v>OK</v>
      </c>
      <c r="G78" s="140" t="str">
        <f>IF(I18=1,"OK",IF(I18=3,"OK","NÃO"))</f>
        <v>OK</v>
      </c>
      <c r="H78" s="140" t="str">
        <f>IF(N6=0,"OK",IF(N13&gt;=(N6*2/3),"OK","NÃO"))</f>
        <v>OK</v>
      </c>
      <c r="I78" s="140" t="str">
        <f>IF(I20=2,IF((D6+F8+F7)&lt;=(N13),"OK","NÃO"),IF((D6+H8+H7)&lt;=(N13),"OK","NÃO"))</f>
        <v>OK</v>
      </c>
      <c r="J78" s="140" t="str">
        <f>IF(N8=0,"NÃO","OK")</f>
        <v>NÃO</v>
      </c>
      <c r="K78" s="140" t="str">
        <f>IF(I72=1,"OK",IF(I72=3,"OK","NÃO"))</f>
        <v>OK</v>
      </c>
      <c r="L78" s="139"/>
      <c r="M78" s="139"/>
      <c r="N78" s="144"/>
      <c r="O78" s="141" t="str">
        <f>IF(SUM(E79:K79)=7,"Preenche os requisitos","Não preenche os requisitos")</f>
        <v>Não preenche os requisitos</v>
      </c>
      <c r="P78" s="140" t="str">
        <f>IF(OR(D53&lt;=DATE(2025-60,12,25),I32=1,I33=1,I34=1,I36=1,I41=1,I42=1,I44=1,I45=1),"OK","NÃO")</f>
        <v>OK</v>
      </c>
      <c r="Q78" s="141" t="str">
        <f>IF(I46=2,"OK","NÃO")</f>
        <v>OK</v>
      </c>
      <c r="R78" s="141" t="str">
        <f>IF(I20=2,IF(((D6+F8/2+F7/2))&lt;=(N13),"OK","NÃO"),IF((D6+H8/2+H7/2)&lt;=(N13),"OK","NÃO"))</f>
        <v>OK</v>
      </c>
      <c r="S78" s="141"/>
      <c r="T78" s="141" t="str">
        <f>IF(SUM(E79+F79+G79+H79+J79+K79+P79+Q79+R79)=9,"Preenche os requisitos","Não preenche os requisitos")</f>
        <v>Não preenche os requisitos</v>
      </c>
      <c r="U78" s="146"/>
    </row>
    <row r="79" spans="1:27" s="135" customFormat="1" ht="25.5" customHeight="1">
      <c r="A79" s="136"/>
      <c r="B79" s="137"/>
      <c r="C79" s="158"/>
      <c r="D79" s="138"/>
      <c r="E79" s="139">
        <f t="shared" ref="E79:K79" si="3">IF(E78="OK",1,2)</f>
        <v>1</v>
      </c>
      <c r="F79" s="139">
        <f>IF(F78="OK",1,2)</f>
        <v>1</v>
      </c>
      <c r="G79" s="140">
        <f t="shared" si="3"/>
        <v>1</v>
      </c>
      <c r="H79" s="140">
        <f t="shared" si="3"/>
        <v>1</v>
      </c>
      <c r="I79" s="140">
        <f t="shared" si="3"/>
        <v>1</v>
      </c>
      <c r="J79" s="140">
        <f t="shared" si="3"/>
        <v>2</v>
      </c>
      <c r="K79" s="140">
        <f t="shared" si="3"/>
        <v>1</v>
      </c>
      <c r="L79" s="144"/>
      <c r="M79" s="148"/>
      <c r="N79" s="144"/>
      <c r="O79" s="145"/>
      <c r="P79" s="140">
        <f t="shared" ref="P79:R79" si="4">IF(P78="OK",1,2)</f>
        <v>1</v>
      </c>
      <c r="Q79" s="140">
        <f t="shared" si="4"/>
        <v>1</v>
      </c>
      <c r="R79" s="140">
        <f t="shared" si="4"/>
        <v>1</v>
      </c>
      <c r="S79" s="140"/>
      <c r="T79" s="144"/>
      <c r="U79" s="146"/>
    </row>
    <row r="80" spans="1:27" s="81" customFormat="1" ht="135.75" customHeight="1">
      <c r="A80" s="75"/>
      <c r="B80" s="105"/>
      <c r="C80" s="158"/>
      <c r="D80" s="164"/>
      <c r="E80" s="104" t="s">
        <v>136</v>
      </c>
      <c r="F80" s="104" t="s">
        <v>151</v>
      </c>
      <c r="G80" s="104" t="s">
        <v>138</v>
      </c>
      <c r="H80" s="104" t="s">
        <v>139</v>
      </c>
      <c r="I80" s="104" t="s">
        <v>148</v>
      </c>
      <c r="J80" s="162" t="s">
        <v>152</v>
      </c>
      <c r="K80" s="83" t="s">
        <v>142</v>
      </c>
      <c r="L80" s="80"/>
      <c r="M80" s="77"/>
      <c r="N80" s="80"/>
      <c r="O80" s="160"/>
      <c r="P80" s="104" t="s">
        <v>143</v>
      </c>
      <c r="Q80" s="83" t="s">
        <v>144</v>
      </c>
      <c r="R80" s="83" t="s">
        <v>153</v>
      </c>
      <c r="S80" s="83"/>
      <c r="T80" s="88"/>
      <c r="U80" s="109"/>
    </row>
    <row r="81" spans="1:21" s="135" customFormat="1" ht="32.25" customHeight="1">
      <c r="A81" s="136"/>
      <c r="B81" s="137"/>
      <c r="C81" s="108" t="s">
        <v>154</v>
      </c>
      <c r="D81" s="138"/>
      <c r="E81" s="139" t="str">
        <f>IF(I22=1,"NÃO",IF(I23=1,"NÃO",IF(I24=1,"NÃO",IF(I51=1,"NÃO",IF(I21=1,"NÃO","OK")))))</f>
        <v>OK</v>
      </c>
      <c r="F81" s="139" t="str">
        <f>IF(AND(N9&lt;=4*360),"OK","NÃO")</f>
        <v>OK</v>
      </c>
      <c r="G81" s="140" t="str">
        <f>IF(I18=1,"OK",IF(I18=3,"OK","NÃO"))</f>
        <v>OK</v>
      </c>
      <c r="H81" s="140" t="str">
        <f>IF(N6=0,"OK",IF(N13&gt;=(N6*2/3),"OK","NÃO"))</f>
        <v>OK</v>
      </c>
      <c r="I81" s="140" t="str">
        <f>IF(I20=2,IF((D6+F8+F7)&lt;=(N13),"OK","NÃO"),IF((D6+H8+H7)&lt;=(N13),"OK","NÃO"))</f>
        <v>OK</v>
      </c>
      <c r="J81" s="140" t="str">
        <f>IF(N7=0,"NÃO","OK")</f>
        <v>NÃO</v>
      </c>
      <c r="K81" s="140" t="str">
        <f>IF(I72=1,"OK",IF(I72=3,"OK","NÃO"))</f>
        <v>OK</v>
      </c>
      <c r="L81" s="144"/>
      <c r="M81" s="148"/>
      <c r="N81" s="144"/>
      <c r="O81" s="141" t="str">
        <f>IF(SUM(E82:K82)=7,"Preenche os requisitos","Não preenche os requisitos")</f>
        <v>Não preenche os requisitos</v>
      </c>
      <c r="P81" s="140" t="str">
        <f>IF(OR(D53&lt;=DATE(2025-60,12,25),I32=1,I33=1,I34=1,I36=1,I41=1,I42=1,I44=1,I45=1),"OK","NÃO")</f>
        <v>OK</v>
      </c>
      <c r="Q81" s="141" t="str">
        <f>IF(I46=2,"OK","NÃO")</f>
        <v>OK</v>
      </c>
      <c r="R81" s="141" t="str">
        <f>IF(I20=2,IF((D6+F8/2+F7/2)&lt;=(N13),"OK","NÃO"),IF((D6+H8/2+H7/2)&lt;=(N13),"OK","NÃO"))</f>
        <v>OK</v>
      </c>
      <c r="S81" s="141"/>
      <c r="T81" s="141" t="str">
        <f>IF(SUM(E82+F82+G82+H82+J82+K82+P82+Q82+R82)=9,"Preenche os requisitos","Não preenche os requisitos")</f>
        <v>Não preenche os requisitos</v>
      </c>
      <c r="U81" s="146"/>
    </row>
    <row r="82" spans="1:21" s="135" customFormat="1" ht="25.5" customHeight="1">
      <c r="A82" s="136"/>
      <c r="B82" s="137"/>
      <c r="C82" s="158"/>
      <c r="D82" s="138"/>
      <c r="E82" s="139">
        <f t="shared" ref="E82:K82" si="5">IF(E81="OK",1,2)</f>
        <v>1</v>
      </c>
      <c r="F82" s="139">
        <f t="shared" si="5"/>
        <v>1</v>
      </c>
      <c r="G82" s="139">
        <f t="shared" si="5"/>
        <v>1</v>
      </c>
      <c r="H82" s="139">
        <f t="shared" si="5"/>
        <v>1</v>
      </c>
      <c r="I82" s="139">
        <f t="shared" si="5"/>
        <v>1</v>
      </c>
      <c r="J82" s="139">
        <f t="shared" si="5"/>
        <v>2</v>
      </c>
      <c r="K82" s="139">
        <f t="shared" si="5"/>
        <v>1</v>
      </c>
      <c r="L82" s="144"/>
      <c r="M82" s="148"/>
      <c r="N82" s="144"/>
      <c r="O82" s="145"/>
      <c r="P82" s="140">
        <f t="shared" ref="P82:R82" si="6">IF(P81="OK",1,2)</f>
        <v>1</v>
      </c>
      <c r="Q82" s="140">
        <f t="shared" si="6"/>
        <v>1</v>
      </c>
      <c r="R82" s="140">
        <f t="shared" si="6"/>
        <v>1</v>
      </c>
      <c r="S82" s="140"/>
      <c r="T82" s="144"/>
      <c r="U82" s="146"/>
    </row>
    <row r="83" spans="1:21" s="81" customFormat="1" ht="144.75" customHeight="1">
      <c r="B83" s="109"/>
      <c r="C83" s="158"/>
      <c r="D83" s="161"/>
      <c r="E83" s="104" t="s">
        <v>136</v>
      </c>
      <c r="F83" s="104" t="s">
        <v>138</v>
      </c>
      <c r="G83" s="104" t="s">
        <v>139</v>
      </c>
      <c r="H83" s="104" t="s">
        <v>155</v>
      </c>
      <c r="I83" s="162" t="s">
        <v>156</v>
      </c>
      <c r="J83" s="83" t="s">
        <v>157</v>
      </c>
      <c r="K83" s="83"/>
      <c r="L83" s="83"/>
      <c r="M83" s="165"/>
      <c r="N83" s="88"/>
      <c r="O83" s="160"/>
      <c r="P83" s="104" t="s">
        <v>143</v>
      </c>
      <c r="Q83" s="83" t="s">
        <v>144</v>
      </c>
      <c r="R83" s="83" t="s">
        <v>158</v>
      </c>
      <c r="S83" s="83" t="s">
        <v>159</v>
      </c>
      <c r="T83" s="88"/>
      <c r="U83" s="109"/>
    </row>
    <row r="84" spans="1:21" s="135" customFormat="1" ht="34.5" customHeight="1">
      <c r="A84" s="136"/>
      <c r="B84" s="137"/>
      <c r="C84" s="158" t="s">
        <v>160</v>
      </c>
      <c r="D84" s="138"/>
      <c r="E84" s="144" t="str">
        <f>IF(I22=1,"NÃO",IF(I23=1,"NÃO",IF(I24=1,"NÃO",IF(I51=1,"NÃO",IF(I21=1,"NÃO","OK")))))</f>
        <v>OK</v>
      </c>
      <c r="F84" s="144" t="str">
        <f>IF(I18=1,"OK",IF(I18=3,"OK","NÃO"))</f>
        <v>OK</v>
      </c>
      <c r="G84" s="149" t="str">
        <f>IF(N6=0,"OK",IF(N13&gt;=(N6*2/3),"OK","NÃO"))</f>
        <v>OK</v>
      </c>
      <c r="H84" s="149" t="str">
        <f>IF(I20=2,IF((F49+I25)&gt;=(5480),"OK","NÃO"),IF(I20=1,IF((F49+I25)&gt;=(7306),"OK","NÃO"),"NÃO"))</f>
        <v>NÃO</v>
      </c>
      <c r="I84" s="149" t="str">
        <f>IF(OR(N8=0)*(N7=0),"NÃO","OK")</f>
        <v>NÃO</v>
      </c>
      <c r="J84" s="149" t="str">
        <f>IF(I20=2,IF(N13&gt;=D6+(15*360),"OK","NÃO"),IF(N13&gt;=D6+(20*360),"OK","NÃO"))</f>
        <v>NÃO</v>
      </c>
      <c r="K84" s="149"/>
      <c r="L84" s="144"/>
      <c r="M84" s="144"/>
      <c r="N84" s="144"/>
      <c r="O84" s="141" t="str">
        <f>IF(SUM(E85:J85)=6,"Preenche os requisitos","Não preenche os requisitos")</f>
        <v>Não preenche os requisitos</v>
      </c>
      <c r="P84" s="144" t="str">
        <f>IF(OR(D53&lt;=DATE(2025-60,12,25),I32=1,I33=1,I34=1,I36=1,I41=1,I42=1,I44=1,I45=1),"OK","NÃO")</f>
        <v>OK</v>
      </c>
      <c r="Q84" s="141" t="str">
        <f>IF(I46=2,"OK","NÃO")</f>
        <v>OK</v>
      </c>
      <c r="R84" s="141" t="str">
        <f>IF(I20=2,IF((F49+I25)&gt;=(5480/2),"OK","NÃO"),IF(I20=1,IF((F49+I25)&gt;=(7306/2),"OK","NÃO"),"NÃO"))</f>
        <v>OK</v>
      </c>
      <c r="S84" s="141" t="str">
        <f>IF(I20=2,IF(N13&gt;=D6+(15*360/2),"OK","NÃO"),IF(N13&gt;=D6+(20*360/2),"OK","NÃO"))</f>
        <v>NÃO</v>
      </c>
      <c r="T84" s="141" t="str">
        <f>IF(SUM(E85+F85+G85+I85+P85+Q85+R85+S85)=8,"Preenche os requisitos","Não preenche os requisitos")</f>
        <v>Não preenche os requisitos</v>
      </c>
      <c r="U84" s="146"/>
    </row>
    <row r="85" spans="1:21" s="146" customFormat="1" ht="25.5" customHeight="1">
      <c r="A85" s="137"/>
      <c r="B85" s="137"/>
      <c r="C85" s="158"/>
      <c r="D85" s="138"/>
      <c r="E85" s="139">
        <f t="shared" ref="E85:J85" si="7">IF(E84="OK",1,2)</f>
        <v>1</v>
      </c>
      <c r="F85" s="139">
        <f t="shared" si="7"/>
        <v>1</v>
      </c>
      <c r="G85" s="140">
        <f>IF(G84="OK",1,2)</f>
        <v>1</v>
      </c>
      <c r="H85" s="140">
        <f t="shared" si="7"/>
        <v>2</v>
      </c>
      <c r="I85" s="140">
        <f t="shared" si="7"/>
        <v>2</v>
      </c>
      <c r="J85" s="140">
        <f t="shared" si="7"/>
        <v>2</v>
      </c>
      <c r="K85" s="140"/>
      <c r="L85" s="144"/>
      <c r="M85" s="148"/>
      <c r="N85" s="144"/>
      <c r="O85" s="145"/>
      <c r="P85" s="140">
        <f t="shared" ref="P85:S85" si="8">IF(P84="OK",1,2)</f>
        <v>1</v>
      </c>
      <c r="Q85" s="140">
        <f t="shared" si="8"/>
        <v>1</v>
      </c>
      <c r="R85" s="140">
        <f t="shared" si="8"/>
        <v>1</v>
      </c>
      <c r="S85" s="140">
        <f t="shared" si="8"/>
        <v>2</v>
      </c>
      <c r="T85" s="144"/>
    </row>
    <row r="86" spans="1:21" s="88" customFormat="1" ht="177.75" customHeight="1">
      <c r="A86" s="80"/>
      <c r="B86" s="166"/>
      <c r="C86" s="158"/>
      <c r="D86" s="164"/>
      <c r="E86" s="104" t="s">
        <v>136</v>
      </c>
      <c r="F86" s="104" t="s">
        <v>138</v>
      </c>
      <c r="G86" s="104" t="s">
        <v>139</v>
      </c>
      <c r="H86" s="104" t="s">
        <v>161</v>
      </c>
      <c r="I86" s="162" t="s">
        <v>156</v>
      </c>
      <c r="J86" s="83" t="s">
        <v>162</v>
      </c>
      <c r="K86" s="167" t="s">
        <v>163</v>
      </c>
      <c r="L86" s="80"/>
      <c r="M86" s="77"/>
      <c r="N86" s="80"/>
      <c r="O86" s="107"/>
      <c r="P86" s="104" t="s">
        <v>143</v>
      </c>
      <c r="Q86" s="83" t="s">
        <v>144</v>
      </c>
      <c r="R86" s="167" t="s">
        <v>164</v>
      </c>
      <c r="S86" s="167" t="s">
        <v>165</v>
      </c>
      <c r="T86" s="80"/>
      <c r="U86" s="168"/>
    </row>
    <row r="87" spans="1:21" s="147" customFormat="1" ht="37.5" customHeight="1">
      <c r="A87" s="144"/>
      <c r="B87" s="150"/>
      <c r="C87" s="158" t="s">
        <v>166</v>
      </c>
      <c r="D87" s="138"/>
      <c r="E87" s="139" t="str">
        <f>IF(I22=1,"NÃO",IF(I23=1,"NÃO",IF(I24=1,"NÃO",IF(I51=1,"NÃO",IF(I21=1,"NÃO","OK")))))</f>
        <v>OK</v>
      </c>
      <c r="F87" s="139" t="str">
        <f>IF(I18=1,"OK",IF(I18=3,"OK","NÃO"))</f>
        <v>OK</v>
      </c>
      <c r="G87" s="140" t="str">
        <f>IF(N6=0,"OK",IF(N13&gt;=(N6*2/3),"OK","NÃO"))</f>
        <v>OK</v>
      </c>
      <c r="H87" s="140" t="str">
        <f>IF(I20=2,IF((N13)&gt;=(20*360),"OK","NÃO"),IF((25*360)&lt;=(N13),"OK","NÃO"))</f>
        <v>NÃO</v>
      </c>
      <c r="I87" s="140" t="str">
        <f>IF(OR(N8=0)*(N7=0),"NÃO","OK")</f>
        <v>NÃO</v>
      </c>
      <c r="J87" s="140" t="str">
        <f>IF(I20=2,IF(N13&gt;=D6+(20*360),"OK","NÃO"),IF(N13&gt;=D6+(25*360),"OK","NÃO"))</f>
        <v>NÃO</v>
      </c>
      <c r="K87" s="140" t="str">
        <f>IF(I47=1,"NÃO","OK")</f>
        <v>OK</v>
      </c>
      <c r="L87" s="144"/>
      <c r="M87" s="148"/>
      <c r="N87" s="144"/>
      <c r="O87" s="141" t="str">
        <f>IF(SUM(E88:K88)=7,"Preenche os requisitos","Não preenche os requisitos")</f>
        <v>Não preenche os requisitos</v>
      </c>
      <c r="P87" s="140" t="str">
        <f>IF(OR(D53&lt;=DATE(2025-60,12,25),I32=1,I33=1,I34=1,I36=1,I41=1,I42=1,I44=1,I45=1),"OK","NÃO")</f>
        <v>OK</v>
      </c>
      <c r="Q87" s="140" t="str">
        <f>IF(I46=2,"OK","NÃO")</f>
        <v>OK</v>
      </c>
      <c r="R87" s="140" t="str">
        <f>IF(I20=2,IF((N13)&gt;=(20*360/2),"OK","NÃO"),IF((25*360/2)&lt;=(N13),"OK","NÃO"))</f>
        <v>NÃO</v>
      </c>
      <c r="S87" s="140" t="str">
        <f>IF(I20=2,IF(N13&gt;=D6+(20*360/2),"OK","NÃO"),IF(N13&gt;=D6+(25*360/2),"OK","NÃO"))</f>
        <v>NÃO</v>
      </c>
      <c r="T87" s="141" t="str">
        <f>IF(SUM(E88+F88+G88+I88+K88+P88+Q88+R88+S88)=9,"Preenche os requisitos","Não preenche os requisitos")</f>
        <v>Não preenche os requisitos</v>
      </c>
      <c r="U87" s="151"/>
    </row>
    <row r="88" spans="1:21" s="147" customFormat="1" ht="25.5" customHeight="1">
      <c r="A88" s="144"/>
      <c r="B88" s="150"/>
      <c r="C88" s="158"/>
      <c r="D88" s="138"/>
      <c r="E88" s="139">
        <f t="shared" ref="E88:K88" si="9">IF(E87="OK",1,2)</f>
        <v>1</v>
      </c>
      <c r="F88" s="139">
        <f t="shared" si="9"/>
        <v>1</v>
      </c>
      <c r="G88" s="139">
        <f t="shared" si="9"/>
        <v>1</v>
      </c>
      <c r="H88" s="139">
        <f t="shared" si="9"/>
        <v>2</v>
      </c>
      <c r="I88" s="139">
        <f t="shared" si="9"/>
        <v>2</v>
      </c>
      <c r="J88" s="139">
        <f t="shared" si="9"/>
        <v>2</v>
      </c>
      <c r="K88" s="139">
        <f t="shared" si="9"/>
        <v>1</v>
      </c>
      <c r="L88" s="144"/>
      <c r="M88" s="148"/>
      <c r="N88" s="144"/>
      <c r="O88" s="145"/>
      <c r="P88" s="140">
        <f t="shared" ref="P88:S88" si="10">IF(P87="OK",1,2)</f>
        <v>1</v>
      </c>
      <c r="Q88" s="140">
        <f t="shared" si="10"/>
        <v>1</v>
      </c>
      <c r="R88" s="140">
        <f t="shared" si="10"/>
        <v>2</v>
      </c>
      <c r="S88" s="140">
        <f t="shared" si="10"/>
        <v>2</v>
      </c>
      <c r="T88" s="144"/>
      <c r="U88" s="151"/>
    </row>
    <row r="89" spans="1:21" s="109" customFormat="1" ht="165">
      <c r="A89" s="105"/>
      <c r="B89" s="105"/>
      <c r="C89" s="158"/>
      <c r="D89" s="164"/>
      <c r="E89" s="104" t="s">
        <v>136</v>
      </c>
      <c r="F89" s="104" t="s">
        <v>138</v>
      </c>
      <c r="G89" s="104" t="s">
        <v>139</v>
      </c>
      <c r="H89" s="104" t="s">
        <v>167</v>
      </c>
      <c r="I89" s="162" t="s">
        <v>156</v>
      </c>
      <c r="J89" s="83" t="s">
        <v>168</v>
      </c>
      <c r="K89" s="167" t="s">
        <v>169</v>
      </c>
      <c r="L89" s="80"/>
      <c r="M89" s="77"/>
      <c r="N89" s="80"/>
      <c r="O89" s="107"/>
      <c r="P89" s="104" t="s">
        <v>143</v>
      </c>
      <c r="Q89" s="83" t="s">
        <v>144</v>
      </c>
      <c r="R89" s="167" t="s">
        <v>170</v>
      </c>
      <c r="S89" s="167" t="s">
        <v>171</v>
      </c>
      <c r="T89" s="80"/>
    </row>
    <row r="90" spans="1:21" s="146" customFormat="1" ht="33" customHeight="1">
      <c r="A90" s="137"/>
      <c r="B90" s="137"/>
      <c r="C90" s="158" t="s">
        <v>172</v>
      </c>
      <c r="D90" s="138"/>
      <c r="E90" s="139" t="str">
        <f>IF(I22=1,"NÃO",IF(I23=1,"NÃO",IF(I24=1,"NÃO",IF(I51=1,"NÃO",IF(I21=1,"NÃO","OK")))))</f>
        <v>OK</v>
      </c>
      <c r="F90" s="139" t="str">
        <f>IF(I18=1,"OK",IF(I18=3,"OK","NÃO"))</f>
        <v>OK</v>
      </c>
      <c r="G90" s="139" t="str">
        <f>IF(N6=0,"OK",IF(N13&gt;=(N6*2/3),"OK","NÃO"))</f>
        <v>OK</v>
      </c>
      <c r="H90" s="139" t="str">
        <f>IF(I20=2,IF((I28)&gt;=(10*360),"OK","NÃO"),IF((15*360)&lt;=(I28),"OK","NÃO"))</f>
        <v>NÃO</v>
      </c>
      <c r="I90" s="139" t="str">
        <f>IF(OR(N8=0)*(N7=0),"NÃO","OK")</f>
        <v>NÃO</v>
      </c>
      <c r="J90" s="139" t="str">
        <f>IF(I20=2,IF(N13&gt;=D6+(10*360),"OK","NÃO"),IF(N13&gt;=D6+(15*360),"OK","NÃO"))</f>
        <v>NÃO</v>
      </c>
      <c r="K90" s="139" t="str">
        <f>IF(I63=2,"OK","NÃO")</f>
        <v>NÃO</v>
      </c>
      <c r="L90" s="144"/>
      <c r="M90" s="148"/>
      <c r="N90" s="144"/>
      <c r="O90" s="141" t="str">
        <f>IF(SUM(E91:K91)=7,"Preenche os requisitos","Não preenche os requisitos")</f>
        <v>Não preenche os requisitos</v>
      </c>
      <c r="P90" s="140" t="str">
        <f>IF(OR(D53&lt;=DATE(2025-60,12,25),I32=1,I33=1,I34=1,I36=1,I41=1,I42=1,I44=1,I45=1),"OK","NÃO")</f>
        <v>OK</v>
      </c>
      <c r="Q90" s="140" t="str">
        <f>IF(I46=2,"OK","NÃO")</f>
        <v>OK</v>
      </c>
      <c r="R90" s="140" t="str">
        <f>IF(I20=2,IF((I28)&gt;=(10*360/2),"OK","NÃO"),IF((15*360/2)&lt;=(I28),"OK","NÃO"))</f>
        <v>NÃO</v>
      </c>
      <c r="S90" s="140" t="str">
        <f>IF(I20=2,IF(N13&gt;=D6+(10*360/2),"OK","NÃO"),IF(N13&gt;=D6+(15*360/2),"OK","NÃO"))</f>
        <v>OK</v>
      </c>
      <c r="T90" s="141" t="str">
        <f>IF(SUM(E91+F91+G91+I91+K91+P91+Q91+R91+S91)=9,"Preenche os requisitos","Não preenche os requisitos")</f>
        <v>Não preenche os requisitos</v>
      </c>
    </row>
    <row r="91" spans="1:21" s="146" customFormat="1" ht="25.5" customHeight="1">
      <c r="A91" s="137"/>
      <c r="B91" s="137"/>
      <c r="C91" s="158"/>
      <c r="D91" s="138"/>
      <c r="E91" s="139">
        <f t="shared" ref="E91:J91" si="11">IF(E90="OK",1,2)</f>
        <v>1</v>
      </c>
      <c r="F91" s="139">
        <f t="shared" si="11"/>
        <v>1</v>
      </c>
      <c r="G91" s="139">
        <f t="shared" si="11"/>
        <v>1</v>
      </c>
      <c r="H91" s="139">
        <f t="shared" si="11"/>
        <v>2</v>
      </c>
      <c r="I91" s="139">
        <f t="shared" si="11"/>
        <v>2</v>
      </c>
      <c r="J91" s="139">
        <f t="shared" si="11"/>
        <v>2</v>
      </c>
      <c r="K91" s="139">
        <f>IF(K90="OK",1,2)</f>
        <v>2</v>
      </c>
      <c r="L91" s="144"/>
      <c r="M91" s="148"/>
      <c r="N91" s="144"/>
      <c r="O91" s="145"/>
      <c r="P91" s="140">
        <f t="shared" ref="P91:S91" si="12">IF(P90="OK",1,2)</f>
        <v>1</v>
      </c>
      <c r="Q91" s="140">
        <f t="shared" si="12"/>
        <v>1</v>
      </c>
      <c r="R91" s="140">
        <f t="shared" si="12"/>
        <v>2</v>
      </c>
      <c r="S91" s="140">
        <f t="shared" si="12"/>
        <v>1</v>
      </c>
      <c r="T91" s="144"/>
    </row>
    <row r="92" spans="1:21" s="109" customFormat="1" ht="137.25" customHeight="1">
      <c r="A92" s="105"/>
      <c r="B92" s="105"/>
      <c r="C92" s="158"/>
      <c r="D92" s="164"/>
      <c r="E92" s="104" t="s">
        <v>136</v>
      </c>
      <c r="F92" s="104" t="s">
        <v>173</v>
      </c>
      <c r="G92" s="104" t="s">
        <v>138</v>
      </c>
      <c r="H92" s="104" t="s">
        <v>139</v>
      </c>
      <c r="I92" s="104" t="s">
        <v>174</v>
      </c>
      <c r="J92" s="104" t="s">
        <v>175</v>
      </c>
      <c r="K92" s="34"/>
      <c r="L92" s="80"/>
      <c r="M92" s="77"/>
      <c r="N92" s="80"/>
      <c r="O92" s="107"/>
      <c r="P92" s="104" t="s">
        <v>143</v>
      </c>
      <c r="Q92" s="83" t="s">
        <v>144</v>
      </c>
      <c r="R92" s="167" t="s">
        <v>176</v>
      </c>
      <c r="S92" s="167"/>
      <c r="T92" s="80"/>
    </row>
    <row r="93" spans="1:21" s="146" customFormat="1" ht="42" customHeight="1">
      <c r="A93" s="137"/>
      <c r="B93" s="137"/>
      <c r="C93" s="158" t="s">
        <v>177</v>
      </c>
      <c r="D93" s="138"/>
      <c r="E93" s="139" t="str">
        <f>IF(I22=1,"NÃO",IF(I23=1,"NÃO",IF(I24=1,"NÃO",IF(I51=1,"NÃO",IF(I21=1,"NÃO","OK")))))</f>
        <v>OK</v>
      </c>
      <c r="F93" s="139" t="str">
        <f>IF(OR(I65=1,I66=1),"OK","NÃO")</f>
        <v>NÃO</v>
      </c>
      <c r="G93" s="139" t="str">
        <f>IF(I18=1,"OK",IF(I18=3,"OK","NÃO"))</f>
        <v>OK</v>
      </c>
      <c r="H93" s="139" t="str">
        <f>IF(N6=0,"OK",IF(N13&gt;=(N6*2/3),"OK","NÃO"))</f>
        <v>OK</v>
      </c>
      <c r="I93" s="139" t="str">
        <f>IF(I20=2,IF((D6+J7+J8)&lt;=(N13),"OK","NÃO"),IF((D6+G7+G8)&lt;=(N13),"OK","NÃO"))</f>
        <v>OK</v>
      </c>
      <c r="J93" s="139" t="str">
        <f>IF(AND(N8=0,N7=0),"NÃO","OK")</f>
        <v>NÃO</v>
      </c>
      <c r="K93" s="139"/>
      <c r="L93" s="144"/>
      <c r="M93" s="148"/>
      <c r="N93" s="144"/>
      <c r="O93" s="141" t="str">
        <f>IF(SUM(E94:J94)=6,"Preenche os requisitos","Não preenche os requisitos")</f>
        <v>Não preenche os requisitos</v>
      </c>
      <c r="P93" s="140" t="str">
        <f>IF(OR(D53&lt;=DATE(2025-60,12,25),I32=1,I33=1,I34=1,I36=1,I41=1,I42=1,I44=1,I45=1),"OK","NÃO")</f>
        <v>OK</v>
      </c>
      <c r="Q93" s="140" t="str">
        <f>IF(I46=2,"OK","NÃO")</f>
        <v>OK</v>
      </c>
      <c r="R93" s="140" t="str">
        <f>IF(I20=2,IF((D6+J7/2+J8/2)&lt;=(N13),"OK","NÃO"),IF((D6+G7/2+G8/2)&lt;=(N13),"OK","NÃO"))</f>
        <v>OK</v>
      </c>
      <c r="S93" s="140"/>
      <c r="T93" s="141" t="str">
        <f>IF(SUM(E94+F94+G94+H94+J94+P94+Q94+R94)=8,"Preenche os requisitos","Não preenche os requisitos")</f>
        <v>Não preenche os requisitos</v>
      </c>
    </row>
    <row r="94" spans="1:21" s="146" customFormat="1" ht="34.5" customHeight="1">
      <c r="A94" s="137"/>
      <c r="B94" s="137"/>
      <c r="C94" s="108"/>
      <c r="D94" s="138"/>
      <c r="E94" s="139">
        <f t="shared" ref="E94:J94" si="13">IF(E93="OK",1,2)</f>
        <v>1</v>
      </c>
      <c r="F94" s="139">
        <f t="shared" si="13"/>
        <v>2</v>
      </c>
      <c r="G94" s="139">
        <f t="shared" si="13"/>
        <v>1</v>
      </c>
      <c r="H94" s="139">
        <f t="shared" si="13"/>
        <v>1</v>
      </c>
      <c r="I94" s="139">
        <f t="shared" si="13"/>
        <v>1</v>
      </c>
      <c r="J94" s="139">
        <f t="shared" si="13"/>
        <v>2</v>
      </c>
      <c r="K94" s="139"/>
      <c r="L94" s="144"/>
      <c r="M94" s="148"/>
      <c r="N94" s="144"/>
      <c r="O94" s="145"/>
      <c r="P94" s="140">
        <f t="shared" ref="P94:R94" si="14">IF(P93="OK",1,2)</f>
        <v>1</v>
      </c>
      <c r="Q94" s="140">
        <f t="shared" si="14"/>
        <v>1</v>
      </c>
      <c r="R94" s="140">
        <f t="shared" si="14"/>
        <v>1</v>
      </c>
      <c r="S94" s="140"/>
      <c r="T94" s="144"/>
    </row>
    <row r="95" spans="1:21" s="109" customFormat="1" ht="120" customHeight="1">
      <c r="A95" s="105"/>
      <c r="B95" s="105"/>
      <c r="C95" s="158"/>
      <c r="D95" s="164"/>
      <c r="E95" s="104" t="s">
        <v>136</v>
      </c>
      <c r="F95" s="104" t="s">
        <v>178</v>
      </c>
      <c r="G95" s="104" t="s">
        <v>138</v>
      </c>
      <c r="H95" s="104" t="s">
        <v>139</v>
      </c>
      <c r="I95" s="162" t="s">
        <v>179</v>
      </c>
      <c r="J95" s="104" t="s">
        <v>175</v>
      </c>
      <c r="K95" s="83"/>
      <c r="L95" s="83"/>
      <c r="M95" s="83"/>
      <c r="N95" s="83"/>
      <c r="O95" s="160"/>
      <c r="P95" s="104" t="s">
        <v>143</v>
      </c>
      <c r="Q95" s="83" t="s">
        <v>144</v>
      </c>
      <c r="R95" s="167" t="s">
        <v>180</v>
      </c>
      <c r="S95" s="167"/>
      <c r="T95" s="80"/>
    </row>
    <row r="96" spans="1:21" s="146" customFormat="1" ht="25.5" customHeight="1">
      <c r="A96" s="137"/>
      <c r="B96" s="137"/>
      <c r="C96" s="158" t="s">
        <v>181</v>
      </c>
      <c r="D96" s="138"/>
      <c r="E96" s="139" t="str">
        <f>IF(I22=1,"NÃO",IF(I23=1,"NÃO",IF(I24=1,"NÃO",IF(I51=1,"NÃO",IF(I21=1,"NÃO","OK")))))</f>
        <v>OK</v>
      </c>
      <c r="F96" s="139" t="str">
        <f>IF(OR(I63=3,I64=1),"OK","NÃO")</f>
        <v>NÃO</v>
      </c>
      <c r="G96" s="139" t="str">
        <f>IF(I18=1,"OK",IF(I18=3,"OK","NÃO"))</f>
        <v>OK</v>
      </c>
      <c r="H96" s="139" t="str">
        <f>IF(N6=0,"OK",IF(N13&gt;=(N6*2/3),"OK","NÃO"))</f>
        <v>OK</v>
      </c>
      <c r="I96" s="139" t="str">
        <f>IF(I20=2,IF((N16)&lt;=6*360,"OK","NÃO"),IF((N16)&lt;=4*360,"OK","NÃO"))</f>
        <v>OK</v>
      </c>
      <c r="J96" s="139" t="str">
        <f>IF(AND(N8=0,N7=0),"NÃO","OK")</f>
        <v>NÃO</v>
      </c>
      <c r="K96" s="144"/>
      <c r="L96" s="144"/>
      <c r="M96" s="148"/>
      <c r="N96" s="144"/>
      <c r="O96" s="141" t="str">
        <f>IF(SUM(E97:J97)=6,"Preenche os requisitos","Não preenche os requisitos")</f>
        <v>Não preenche os requisitos</v>
      </c>
      <c r="P96" s="140" t="str">
        <f>IF(OR(D53&lt;=DATE(2025-60,12,25),I32=1,I33=1,I34=1,I36=1,I41=1,I42=1,I44=1,I45=1),"OK","NÃO")</f>
        <v>OK</v>
      </c>
      <c r="Q96" s="140" t="str">
        <f>IF(I46=2,"OK","NÃO")</f>
        <v>OK</v>
      </c>
      <c r="R96" s="140" t="str">
        <f>IF(I20=2,IF((N16)&lt;=6*360*2,"OK","NÃO"),IF((N16)&lt;=4*360*2,"OK","NÃO"))</f>
        <v>OK</v>
      </c>
      <c r="S96" s="140"/>
      <c r="T96" s="141" t="str">
        <f>IF(SUM(E97+F97+G97+H97+J97+P97+Q97+R97)=8,"Preenche os requisitos","Não preenche os requisitos")</f>
        <v>Não preenche os requisitos</v>
      </c>
    </row>
    <row r="97" spans="1:20" s="146" customFormat="1" ht="25.5" customHeight="1">
      <c r="A97" s="137"/>
      <c r="B97" s="137"/>
      <c r="C97" s="158"/>
      <c r="D97" s="138"/>
      <c r="E97" s="139">
        <f t="shared" ref="E97:I97" si="15">IF(E96="OK",1,2)</f>
        <v>1</v>
      </c>
      <c r="F97" s="139">
        <f t="shared" si="15"/>
        <v>2</v>
      </c>
      <c r="G97" s="140">
        <f t="shared" si="15"/>
        <v>1</v>
      </c>
      <c r="H97" s="140">
        <f t="shared" si="15"/>
        <v>1</v>
      </c>
      <c r="I97" s="140">
        <f t="shared" si="15"/>
        <v>1</v>
      </c>
      <c r="J97" s="140">
        <f>IF(J96="OK",1,2)</f>
        <v>2</v>
      </c>
      <c r="K97" s="144"/>
      <c r="L97" s="144"/>
      <c r="M97" s="148"/>
      <c r="N97" s="144"/>
      <c r="O97" s="145"/>
      <c r="P97" s="140">
        <f t="shared" ref="P97:R97" si="16">IF(P96="OK",1,2)</f>
        <v>1</v>
      </c>
      <c r="Q97" s="140">
        <f t="shared" si="16"/>
        <v>1</v>
      </c>
      <c r="R97" s="140">
        <f t="shared" si="16"/>
        <v>1</v>
      </c>
      <c r="S97" s="140"/>
      <c r="T97" s="144"/>
    </row>
    <row r="98" spans="1:20" s="109" customFormat="1" ht="175.5" customHeight="1">
      <c r="A98" s="105"/>
      <c r="B98" s="105"/>
      <c r="C98" s="158"/>
      <c r="D98" s="164"/>
      <c r="E98" s="104" t="s">
        <v>136</v>
      </c>
      <c r="F98" s="104" t="s">
        <v>182</v>
      </c>
      <c r="G98" s="104" t="s">
        <v>138</v>
      </c>
      <c r="H98" s="104" t="s">
        <v>139</v>
      </c>
      <c r="I98" s="104" t="s">
        <v>183</v>
      </c>
      <c r="J98" s="104" t="s">
        <v>175</v>
      </c>
      <c r="K98" s="80"/>
      <c r="L98" s="80"/>
      <c r="M98" s="77"/>
      <c r="N98" s="80"/>
      <c r="O98" s="160"/>
      <c r="P98" s="104" t="s">
        <v>143</v>
      </c>
      <c r="Q98" s="83" t="s">
        <v>144</v>
      </c>
      <c r="R98" s="167" t="s">
        <v>184</v>
      </c>
      <c r="S98" s="167"/>
      <c r="T98" s="80"/>
    </row>
    <row r="99" spans="1:20" s="146" customFormat="1" ht="64.5" customHeight="1">
      <c r="A99" s="137"/>
      <c r="B99" s="137"/>
      <c r="C99" s="158" t="s">
        <v>185</v>
      </c>
      <c r="D99" s="138"/>
      <c r="E99" s="139" t="str">
        <f>IF(I22=1,"NÃO",IF(I23=1,"NÃO",IF(I24=1,"NÃO",IF(I51=1,"NÃO",IF(I21=1,"NÃO","OK")))))</f>
        <v>OK</v>
      </c>
      <c r="F99" s="139" t="str">
        <f>IF(OR(I65=1,I66=1,I64=1),"OK","NÃO")</f>
        <v>NÃO</v>
      </c>
      <c r="G99" s="140" t="str">
        <f>IF(I18=1,"OK",IF(I18=3,"OK","NÃO"))</f>
        <v>OK</v>
      </c>
      <c r="H99" s="140" t="str">
        <f>IF(N6=0,"OK",IF(N13&gt;=(N6*2/3),"OK","NÃO"))</f>
        <v>OK</v>
      </c>
      <c r="I99" s="140" t="str">
        <f>IF(I68=4,"OK","NÃO")</f>
        <v>NÃO</v>
      </c>
      <c r="J99" s="140" t="str">
        <f>IF(AND(N8=0,N7=0),"NÃO","OK")</f>
        <v>NÃO</v>
      </c>
      <c r="K99" s="144"/>
      <c r="L99" s="144"/>
      <c r="M99" s="148"/>
      <c r="N99" s="144"/>
      <c r="O99" s="141" t="str">
        <f>IF(SUM(E100:J100)=6,"Preenche os requisitos","Não preenche os requisitos")</f>
        <v>Não preenche os requisitos</v>
      </c>
      <c r="P99" s="140" t="str">
        <f>IF(OR(D53&lt;=DATE(2025-60,12,25),I32=1,I33=1,I34=1,I36=1,I41=1,I42=1,I44=1,I45=1),"OK","NÃO")</f>
        <v>OK</v>
      </c>
      <c r="Q99" s="140" t="str">
        <f>IF(I46=2,"OK","NÃO")</f>
        <v>OK</v>
      </c>
      <c r="R99" s="140" t="str">
        <f>IF(OR(I68=3,I68=4),"OK","NÃO")</f>
        <v>NÃO</v>
      </c>
      <c r="S99" s="140"/>
      <c r="T99" s="141" t="str">
        <f>IF(SUM(E100+F100+G100+H100+J100+P100+Q100+R100)=8,"Preenche os requisitos","Não preenche os requisitos")</f>
        <v>Não preenche os requisitos</v>
      </c>
    </row>
    <row r="100" spans="1:20" s="146" customFormat="1" ht="25.5" customHeight="1">
      <c r="A100" s="137"/>
      <c r="B100" s="137"/>
      <c r="C100" s="158"/>
      <c r="D100" s="138"/>
      <c r="E100" s="139">
        <f t="shared" ref="E100:J100" si="17">IF(E99="OK",1,2)</f>
        <v>1</v>
      </c>
      <c r="F100" s="139">
        <f t="shared" si="17"/>
        <v>2</v>
      </c>
      <c r="G100" s="139">
        <f t="shared" si="17"/>
        <v>1</v>
      </c>
      <c r="H100" s="139">
        <f t="shared" si="17"/>
        <v>1</v>
      </c>
      <c r="I100" s="139">
        <f t="shared" si="17"/>
        <v>2</v>
      </c>
      <c r="J100" s="139">
        <f t="shared" si="17"/>
        <v>2</v>
      </c>
      <c r="K100" s="144"/>
      <c r="L100" s="144"/>
      <c r="M100" s="148"/>
      <c r="N100" s="144"/>
      <c r="O100" s="145"/>
      <c r="P100" s="140">
        <f t="shared" ref="P100:R100" si="18">IF(P99="OK",1,2)</f>
        <v>1</v>
      </c>
      <c r="Q100" s="140">
        <f t="shared" si="18"/>
        <v>1</v>
      </c>
      <c r="R100" s="140">
        <f t="shared" si="18"/>
        <v>2</v>
      </c>
      <c r="S100" s="140"/>
      <c r="T100" s="144"/>
    </row>
    <row r="101" spans="1:20" s="109" customFormat="1" ht="116.25" customHeight="1">
      <c r="A101" s="105"/>
      <c r="B101" s="105"/>
      <c r="C101" s="158"/>
      <c r="D101" s="164"/>
      <c r="E101" s="104" t="s">
        <v>136</v>
      </c>
      <c r="F101" s="104" t="s">
        <v>138</v>
      </c>
      <c r="G101" s="104" t="s">
        <v>139</v>
      </c>
      <c r="H101" s="167" t="s">
        <v>169</v>
      </c>
      <c r="I101" s="169" t="s">
        <v>186</v>
      </c>
      <c r="J101" s="104" t="s">
        <v>175</v>
      </c>
      <c r="K101" s="80"/>
      <c r="L101" s="80"/>
      <c r="M101" s="77"/>
      <c r="N101" s="80"/>
      <c r="O101" s="160"/>
      <c r="P101" s="104" t="s">
        <v>143</v>
      </c>
      <c r="Q101" s="83" t="s">
        <v>144</v>
      </c>
      <c r="R101" s="167" t="s">
        <v>187</v>
      </c>
      <c r="S101" s="167"/>
      <c r="T101" s="80"/>
    </row>
    <row r="102" spans="1:20" s="146" customFormat="1" ht="40.5" customHeight="1">
      <c r="A102" s="137"/>
      <c r="B102" s="137"/>
      <c r="C102" s="158" t="s">
        <v>188</v>
      </c>
      <c r="D102" s="138"/>
      <c r="E102" s="139" t="str">
        <f>IF(I22=1,"NÃO",IF(I23=1,"NÃO",IF(I24=1,"NÃO",IF(I51=1,"NÃO",IF(I21=1,"NÃO","OK")))))</f>
        <v>OK</v>
      </c>
      <c r="F102" s="139" t="str">
        <f>IF(I18=1,"OK",IF(I18=3,"OK","NÃO"))</f>
        <v>OK</v>
      </c>
      <c r="G102" s="139" t="str">
        <f>IF(N6=0,"OK",IF(N13&gt;=(N6*2/3),"OK","NÃO"))</f>
        <v>OK</v>
      </c>
      <c r="H102" s="139" t="str">
        <f>IF(I63=2,"OK","NÃO")</f>
        <v>NÃO</v>
      </c>
      <c r="I102" s="139" t="str">
        <f>IF(I69=4,"OK","NÃO")</f>
        <v>NÃO</v>
      </c>
      <c r="J102" s="139" t="str">
        <f>IF(AND(N8=0,N7=0),"NÃO","OK")</f>
        <v>NÃO</v>
      </c>
      <c r="K102" s="144"/>
      <c r="L102" s="144"/>
      <c r="M102" s="148"/>
      <c r="N102" s="144"/>
      <c r="O102" s="141" t="str">
        <f>IF(SUM(E103:J103)=6,"Preenche os requisitos","Não preenche os requisitos")</f>
        <v>Não preenche os requisitos</v>
      </c>
      <c r="P102" s="140" t="str">
        <f>IF(OR(D53&lt;=DATE(2025-60,12,25),I32=1,I33=1,I34=1,I36=1,I41=1,I42=1,I44=1,I45=1),"OK","NÃO")</f>
        <v>OK</v>
      </c>
      <c r="Q102" s="140" t="str">
        <f>IF(I46=2,"OK","NÃO")</f>
        <v>OK</v>
      </c>
      <c r="R102" s="140" t="str">
        <f>IF(OR(I69=3,I69=4),"OK","NÃO")</f>
        <v>NÃO</v>
      </c>
      <c r="S102" s="140"/>
      <c r="T102" s="141" t="str">
        <f>IF(SUM(E103+F103+G103+H103+J103+P103+Q103+R103)=8,"Preenche os requisitos","Não preenche os requisitos")</f>
        <v>Não preenche os requisitos</v>
      </c>
    </row>
    <row r="103" spans="1:20" s="146" customFormat="1" ht="25.5" customHeight="1">
      <c r="A103" s="137"/>
      <c r="B103" s="137"/>
      <c r="C103" s="158"/>
      <c r="D103" s="138"/>
      <c r="E103" s="139">
        <f t="shared" ref="E103:J103" si="19">IF(E102="OK",1,2)</f>
        <v>1</v>
      </c>
      <c r="F103" s="139">
        <f t="shared" si="19"/>
        <v>1</v>
      </c>
      <c r="G103" s="139">
        <f t="shared" si="19"/>
        <v>1</v>
      </c>
      <c r="H103" s="139">
        <f t="shared" si="19"/>
        <v>2</v>
      </c>
      <c r="I103" s="139">
        <f t="shared" si="19"/>
        <v>2</v>
      </c>
      <c r="J103" s="139">
        <f t="shared" si="19"/>
        <v>2</v>
      </c>
      <c r="K103" s="144"/>
      <c r="L103" s="144"/>
      <c r="M103" s="148"/>
      <c r="N103" s="144"/>
      <c r="O103" s="145"/>
      <c r="P103" s="140">
        <f t="shared" ref="P103:R103" si="20">IF(P102="OK",1,2)</f>
        <v>1</v>
      </c>
      <c r="Q103" s="140">
        <f t="shared" si="20"/>
        <v>1</v>
      </c>
      <c r="R103" s="140">
        <f t="shared" si="20"/>
        <v>2</v>
      </c>
      <c r="S103" s="140"/>
      <c r="T103" s="144"/>
    </row>
    <row r="104" spans="1:20" s="109" customFormat="1" ht="135.75" customHeight="1">
      <c r="A104" s="105"/>
      <c r="B104" s="105"/>
      <c r="C104" s="158"/>
      <c r="D104" s="164"/>
      <c r="E104" s="104" t="s">
        <v>136</v>
      </c>
      <c r="F104" s="104" t="s">
        <v>189</v>
      </c>
      <c r="G104" s="104" t="s">
        <v>190</v>
      </c>
      <c r="H104" s="104" t="s">
        <v>138</v>
      </c>
      <c r="I104" s="104" t="s">
        <v>139</v>
      </c>
      <c r="J104" s="104" t="s">
        <v>191</v>
      </c>
      <c r="K104" s="104" t="s">
        <v>175</v>
      </c>
      <c r="L104" s="162" t="s">
        <v>192</v>
      </c>
      <c r="M104" s="89" t="s">
        <v>193</v>
      </c>
      <c r="N104" s="80"/>
      <c r="O104" s="160"/>
      <c r="P104" s="104" t="s">
        <v>143</v>
      </c>
      <c r="Q104" s="83" t="s">
        <v>144</v>
      </c>
      <c r="R104" s="167" t="s">
        <v>194</v>
      </c>
      <c r="S104" s="89" t="s">
        <v>193</v>
      </c>
      <c r="T104" s="80"/>
    </row>
    <row r="105" spans="1:20" s="146" customFormat="1" ht="56.25" customHeight="1">
      <c r="A105" s="137"/>
      <c r="B105" s="137"/>
      <c r="C105" s="108" t="s">
        <v>195</v>
      </c>
      <c r="D105" s="138"/>
      <c r="E105" s="139" t="str">
        <f>IF(I22=1,"NÃO",IF(I23=1,"NÃO",IF(I24=1,"NÃO",IF(I51=1,"NÃO",IF(I21=1,"NÃO","OK")))))</f>
        <v>OK</v>
      </c>
      <c r="F105" s="139" t="str">
        <f>IF(N9&lt;=12*360,"OK","NÃO")</f>
        <v>OK</v>
      </c>
      <c r="G105" s="139" t="str">
        <f>IF(I62=1,"OK","NÃO")</f>
        <v>NÃO</v>
      </c>
      <c r="H105" s="139" t="str">
        <f>IF(I18=1,"OK",IF(I18=3,"OK","NÃO"))</f>
        <v>OK</v>
      </c>
      <c r="I105" s="139" t="str">
        <f>IF(N6=0,"OK",IF(N13&gt;=(N6*2/3),"OK","NÃO"))</f>
        <v>OK</v>
      </c>
      <c r="J105" s="139" t="str">
        <f>IF(I20=2,IF((D6+F8+F7)&lt;=(N13),"OK","NÃO"),IF((D6+H8+H7)&lt;=(N13),"OK","NÃO"))</f>
        <v>OK</v>
      </c>
      <c r="K105" s="152" t="str">
        <f>IF(AND(N8=0,N7=0),"NÃO","OK")</f>
        <v>NÃO</v>
      </c>
      <c r="L105" s="152" t="str">
        <f>IF(AND(I63=1),"NÃO","OK")</f>
        <v>NÃO</v>
      </c>
      <c r="M105" s="148" t="str">
        <f>IF(I20=2,IF((I30)&gt;=(F7+F8),"OK","NÃO"),IF((H7+H8)&lt;=(I30),"OK","NÃO"))</f>
        <v>OK</v>
      </c>
      <c r="N105" s="144"/>
      <c r="O105" s="141" t="str">
        <f>IF(SUM(E106:M106)=9,"Preenche os requisitos","Não preenche os requisitos")</f>
        <v>Não preenche os requisitos</v>
      </c>
      <c r="P105" s="140" t="str">
        <f>IF(OR(D53&lt;=DATE(2025-60,12,25),I32=1,I33=1,I34=1,I36=1,I41=1,I42=1,I44=1,I45=1),"OK","NÃO")</f>
        <v>OK</v>
      </c>
      <c r="Q105" s="140" t="str">
        <f>IF(I46=2,"OK","NÃO")</f>
        <v>OK</v>
      </c>
      <c r="R105" s="140" t="str">
        <f>IF(I20=2,IF((D6+F8/2+F7/2)&lt;=(N13),"OK","NÃO"),IF((D6+H8/2+H7/2)&lt;=(N13),"OK","NÃO"))</f>
        <v>OK</v>
      </c>
      <c r="S105" s="140" t="str">
        <f>IF(I20=2,IF((I30)&gt;=((F7+F8)/2),"OK","NÃO"),IF(((H7+H8)/2)&lt;=(I30),"OK","NÃO"))</f>
        <v>OK</v>
      </c>
      <c r="T105" s="141" t="str">
        <f>IF(SUM(E106+F106+G106+H106+I106+K106+L106+P106+Q106+R106+S106)=11,"Preenche os requisitos","Não preenche os requisitos")</f>
        <v>Não preenche os requisitos</v>
      </c>
    </row>
    <row r="106" spans="1:20" s="146" customFormat="1" ht="25.5" customHeight="1">
      <c r="A106" s="137"/>
      <c r="B106" s="137"/>
      <c r="C106" s="158"/>
      <c r="D106" s="138"/>
      <c r="E106" s="140">
        <f t="shared" ref="E106:M106" si="21">IF(E105="OK",1,2)</f>
        <v>1</v>
      </c>
      <c r="F106" s="140">
        <f t="shared" si="21"/>
        <v>1</v>
      </c>
      <c r="G106" s="140">
        <f t="shared" si="21"/>
        <v>2</v>
      </c>
      <c r="H106" s="140">
        <f t="shared" si="21"/>
        <v>1</v>
      </c>
      <c r="I106" s="140">
        <f t="shared" si="21"/>
        <v>1</v>
      </c>
      <c r="J106" s="140">
        <f t="shared" si="21"/>
        <v>1</v>
      </c>
      <c r="K106" s="140">
        <f t="shared" si="21"/>
        <v>2</v>
      </c>
      <c r="L106" s="140">
        <f t="shared" si="21"/>
        <v>2</v>
      </c>
      <c r="M106" s="140">
        <f t="shared" si="21"/>
        <v>1</v>
      </c>
      <c r="N106" s="144"/>
      <c r="O106" s="145"/>
      <c r="P106" s="140">
        <f t="shared" ref="P106:S106" si="22">IF(P105="OK",1,2)</f>
        <v>1</v>
      </c>
      <c r="Q106" s="140">
        <f t="shared" si="22"/>
        <v>1</v>
      </c>
      <c r="R106" s="140">
        <f t="shared" si="22"/>
        <v>1</v>
      </c>
      <c r="S106" s="140">
        <f t="shared" si="22"/>
        <v>1</v>
      </c>
      <c r="T106" s="144"/>
    </row>
    <row r="107" spans="1:20" s="109" customFormat="1" ht="108.75" customHeight="1">
      <c r="A107" s="105"/>
      <c r="B107" s="105"/>
      <c r="C107" s="158"/>
      <c r="D107" s="164"/>
      <c r="E107" s="104" t="s">
        <v>136</v>
      </c>
      <c r="F107" s="104" t="s">
        <v>189</v>
      </c>
      <c r="G107" s="104" t="s">
        <v>196</v>
      </c>
      <c r="H107" s="104" t="s">
        <v>138</v>
      </c>
      <c r="I107" s="104" t="s">
        <v>139</v>
      </c>
      <c r="J107" s="104" t="s">
        <v>197</v>
      </c>
      <c r="K107" s="104" t="s">
        <v>175</v>
      </c>
      <c r="L107" s="162"/>
      <c r="M107" s="170"/>
      <c r="N107" s="80"/>
      <c r="O107" s="160"/>
      <c r="P107" s="104"/>
      <c r="Q107" s="83"/>
      <c r="R107" s="167"/>
      <c r="S107" s="167"/>
      <c r="T107" s="80"/>
    </row>
    <row r="108" spans="1:20" s="146" customFormat="1" ht="53.25" customHeight="1">
      <c r="A108" s="137"/>
      <c r="B108" s="137"/>
      <c r="C108" s="158" t="s">
        <v>198</v>
      </c>
      <c r="D108" s="138"/>
      <c r="E108" s="140" t="str">
        <f>IF(I22=1,"NÃO",IF(I23=1,"NÃO",IF(I24=1,"NÃO",IF(I51=1,"NÃO",IF(I21=1,"NÃO","OK")))))</f>
        <v>OK</v>
      </c>
      <c r="F108" s="140" t="str">
        <f>IF(N9&lt;=12*360,"OK","NÃO")</f>
        <v>OK</v>
      </c>
      <c r="G108" s="140" t="str">
        <f>IF(I20=2,IF(I70=3,"OK","NÃO"),IF(I70=4,"OK","NÃO"))</f>
        <v>NÃO</v>
      </c>
      <c r="H108" s="140" t="str">
        <f>IF(I18=1,"OK",IF(I18=3,"OK","NÃO"))</f>
        <v>OK</v>
      </c>
      <c r="I108" s="140" t="str">
        <f>IF(N6=0,"OK",IF(N13&gt;=(N6*2/3),"OK","NÃO"))</f>
        <v>OK</v>
      </c>
      <c r="J108" s="140" t="str">
        <f>IF(I20=2,IF((D6+J8+J7)&lt;=(N13),"OK","NÃO"),IF((D6+G8+G7)&lt;=(N13),"OK","NÃO"))</f>
        <v>OK</v>
      </c>
      <c r="K108" s="140" t="str">
        <f>IF(AND(N8=0,N7=0),"NÃO","OK")</f>
        <v>NÃO</v>
      </c>
      <c r="L108" s="140"/>
      <c r="M108" s="148"/>
      <c r="N108" s="144"/>
      <c r="O108" s="141" t="str">
        <f>IF(SUM(E109:K109)=7,"Preenche os requisitos","Não preenche os requisitos")</f>
        <v>Não preenche os requisitos</v>
      </c>
      <c r="P108" s="140"/>
      <c r="Q108" s="140"/>
      <c r="R108" s="140"/>
      <c r="S108" s="140"/>
      <c r="T108" s="141"/>
    </row>
    <row r="109" spans="1:20" s="146" customFormat="1" ht="63.75" customHeight="1">
      <c r="A109" s="137"/>
      <c r="B109" s="137"/>
      <c r="C109" s="158" t="s">
        <v>199</v>
      </c>
      <c r="D109" s="138"/>
      <c r="E109" s="140">
        <f t="shared" ref="E109:K109" si="23">IF(E108="OK",1,2)</f>
        <v>1</v>
      </c>
      <c r="F109" s="140">
        <f t="shared" si="23"/>
        <v>1</v>
      </c>
      <c r="G109" s="140">
        <f t="shared" si="23"/>
        <v>2</v>
      </c>
      <c r="H109" s="140">
        <f t="shared" si="23"/>
        <v>1</v>
      </c>
      <c r="I109" s="140">
        <f t="shared" si="23"/>
        <v>1</v>
      </c>
      <c r="J109" s="140">
        <f t="shared" si="23"/>
        <v>1</v>
      </c>
      <c r="K109" s="140">
        <f t="shared" si="23"/>
        <v>2</v>
      </c>
      <c r="L109" s="140"/>
      <c r="M109" s="148"/>
      <c r="N109" s="144"/>
      <c r="O109" s="145"/>
      <c r="P109" s="140"/>
      <c r="Q109" s="140"/>
      <c r="R109" s="140"/>
      <c r="S109" s="140"/>
      <c r="T109" s="144"/>
    </row>
    <row r="110" spans="1:20" s="109" customFormat="1" ht="75.75" customHeight="1">
      <c r="A110" s="105"/>
      <c r="B110" s="105"/>
      <c r="C110" s="158"/>
      <c r="D110" s="164"/>
      <c r="E110" s="104" t="s">
        <v>136</v>
      </c>
      <c r="F110" s="104" t="s">
        <v>189</v>
      </c>
      <c r="G110" s="104" t="s">
        <v>200</v>
      </c>
      <c r="H110" s="104" t="s">
        <v>138</v>
      </c>
      <c r="I110" s="104" t="s">
        <v>139</v>
      </c>
      <c r="J110" s="104" t="s">
        <v>197</v>
      </c>
      <c r="K110" s="104" t="s">
        <v>175</v>
      </c>
      <c r="L110" s="170"/>
      <c r="M110" s="77"/>
      <c r="N110" s="80"/>
      <c r="O110" s="160"/>
      <c r="P110" s="104"/>
      <c r="Q110" s="83"/>
      <c r="R110" s="167"/>
      <c r="S110" s="167"/>
      <c r="T110" s="80"/>
    </row>
    <row r="111" spans="1:20" s="146" customFormat="1" ht="52.5" customHeight="1">
      <c r="A111" s="137"/>
      <c r="B111" s="137"/>
      <c r="C111" s="158" t="s">
        <v>201</v>
      </c>
      <c r="D111" s="138"/>
      <c r="E111" s="140" t="str">
        <f>IF(I22=1,"NÃO",IF(I23=1,"NÃO",IF(I24=1,"NÃO",IF(I51=1,"NÃO",IF(I21=1,"NÃO","OK")))))</f>
        <v>OK</v>
      </c>
      <c r="F111" s="140" t="str">
        <f>IF(N9&lt;=12*360,"OK","NÃO")</f>
        <v>OK</v>
      </c>
      <c r="G111" s="140" t="str">
        <f>IF(I71=1,"OK","NÃO")</f>
        <v>NÃO</v>
      </c>
      <c r="H111" s="140" t="str">
        <f>IF(I18=1,"OK",IF(I18=3,"OK","NÃO"))</f>
        <v>OK</v>
      </c>
      <c r="I111" s="140" t="str">
        <f>IF(N6=0,"OK",IF(N13&gt;=(N6*2/3),"OK","NÃO"))</f>
        <v>OK</v>
      </c>
      <c r="J111" s="140" t="str">
        <f>IF(I20=2,IF((D6+G8+G7)&lt;=(N13),"OK","NÃO"),IF((D6+E8+E7)&lt;=(N13),"OK","NÃO"))</f>
        <v>OK</v>
      </c>
      <c r="K111" s="140" t="str">
        <f>IF(AND(N8=0,N7=0),"NÃO","OK")</f>
        <v>NÃO</v>
      </c>
      <c r="L111" s="140"/>
      <c r="M111" s="148"/>
      <c r="N111" s="144"/>
      <c r="O111" s="141" t="str">
        <f>IF(SUM(E112:K112)=7,"Preenche os requisitos","Não preenche os requisitos")</f>
        <v>Não preenche os requisitos</v>
      </c>
      <c r="P111" s="140"/>
      <c r="Q111" s="140"/>
      <c r="R111" s="140"/>
      <c r="S111" s="140"/>
      <c r="T111" s="141"/>
    </row>
    <row r="112" spans="1:20" s="146" customFormat="1" ht="25.5" customHeight="1">
      <c r="A112" s="137"/>
      <c r="B112" s="137"/>
      <c r="C112" s="158"/>
      <c r="D112" s="138"/>
      <c r="E112" s="140">
        <f t="shared" ref="E112:K112" si="24">IF(E111="OK",1,2)</f>
        <v>1</v>
      </c>
      <c r="F112" s="140">
        <f t="shared" si="24"/>
        <v>1</v>
      </c>
      <c r="G112" s="140">
        <f t="shared" si="24"/>
        <v>2</v>
      </c>
      <c r="H112" s="140">
        <f t="shared" si="24"/>
        <v>1</v>
      </c>
      <c r="I112" s="140">
        <f t="shared" si="24"/>
        <v>1</v>
      </c>
      <c r="J112" s="140">
        <f t="shared" si="24"/>
        <v>1</v>
      </c>
      <c r="K112" s="140">
        <f t="shared" si="24"/>
        <v>2</v>
      </c>
      <c r="L112" s="140"/>
      <c r="M112" s="148"/>
      <c r="N112" s="144"/>
      <c r="O112" s="145"/>
      <c r="P112" s="140"/>
      <c r="Q112" s="140"/>
      <c r="R112" s="140"/>
      <c r="S112" s="140"/>
      <c r="T112" s="144"/>
    </row>
    <row r="113" spans="1:22" s="109" customFormat="1" ht="85.5" customHeight="1">
      <c r="A113" s="105"/>
      <c r="B113" s="105"/>
      <c r="C113" s="158"/>
      <c r="D113" s="164"/>
      <c r="E113" s="104" t="s">
        <v>136</v>
      </c>
      <c r="F113" s="104" t="s">
        <v>202</v>
      </c>
      <c r="G113" s="104" t="s">
        <v>203</v>
      </c>
      <c r="H113" s="104" t="s">
        <v>204</v>
      </c>
      <c r="I113" s="162" t="s">
        <v>149</v>
      </c>
      <c r="J113" s="83" t="s">
        <v>139</v>
      </c>
      <c r="K113" s="170"/>
      <c r="L113" s="170"/>
      <c r="M113" s="77"/>
      <c r="N113" s="80"/>
      <c r="O113" s="160"/>
      <c r="P113" s="104"/>
      <c r="Q113" s="83"/>
      <c r="R113" s="167"/>
      <c r="S113" s="167"/>
      <c r="T113" s="80"/>
    </row>
    <row r="114" spans="1:22" s="146" customFormat="1" ht="25.5" customHeight="1">
      <c r="A114" s="137"/>
      <c r="B114" s="137"/>
      <c r="C114" s="158" t="s">
        <v>205</v>
      </c>
      <c r="D114" s="138"/>
      <c r="E114" s="140" t="str">
        <f>IF(I22=1,"NÃO",IF(I23=1,"NÃO",IF(I24=1,"NÃO",IF(I51=1,"NÃO",IF(I21=1,"NÃO","OK")))))</f>
        <v>OK</v>
      </c>
      <c r="F114" s="140" t="str">
        <f>IF(I55=1,"OK","NÃO")</f>
        <v>NÃO</v>
      </c>
      <c r="G114" s="140" t="str">
        <f>IF(I57=1,"OK","NÃO")</f>
        <v>NÃO</v>
      </c>
      <c r="H114" s="140" t="str">
        <f>IF(N13&gt;=90+D6,"OK","NÃO")</f>
        <v>OK</v>
      </c>
      <c r="I114" s="140" t="str">
        <f>IF(N8=0,"NÃO","OK")</f>
        <v>NÃO</v>
      </c>
      <c r="J114" s="140" t="str">
        <f>IF(N6=0,"OK",IF(N13&gt;=(N6*2/3),"OK","NÃO"))</f>
        <v>OK</v>
      </c>
      <c r="K114" s="140"/>
      <c r="L114" s="140"/>
      <c r="M114" s="148"/>
      <c r="N114" s="144"/>
      <c r="O114" s="141" t="str">
        <f>IF(SUM(E115:J115)=6,"Preenche os requisitos","Não preenche os requisitos")</f>
        <v>Não preenche os requisitos</v>
      </c>
      <c r="P114" s="140"/>
      <c r="Q114" s="140"/>
      <c r="R114" s="140"/>
      <c r="S114" s="140"/>
      <c r="T114" s="141"/>
    </row>
    <row r="115" spans="1:22" s="146" customFormat="1" ht="25.5" customHeight="1">
      <c r="A115" s="137"/>
      <c r="B115" s="137"/>
      <c r="C115" s="158"/>
      <c r="D115" s="138"/>
      <c r="E115" s="140">
        <f t="shared" ref="E115:J115" si="25">IF(E114="OK",1,2)</f>
        <v>1</v>
      </c>
      <c r="F115" s="140">
        <f t="shared" si="25"/>
        <v>2</v>
      </c>
      <c r="G115" s="140">
        <f t="shared" si="25"/>
        <v>2</v>
      </c>
      <c r="H115" s="140">
        <f t="shared" si="25"/>
        <v>1</v>
      </c>
      <c r="I115" s="140">
        <f t="shared" si="25"/>
        <v>2</v>
      </c>
      <c r="J115" s="140">
        <f t="shared" si="25"/>
        <v>1</v>
      </c>
      <c r="K115" s="140"/>
      <c r="L115" s="140"/>
      <c r="M115" s="148"/>
      <c r="N115" s="144"/>
      <c r="O115" s="145"/>
      <c r="P115" s="140"/>
      <c r="Q115" s="140"/>
      <c r="R115" s="140"/>
      <c r="S115" s="140"/>
      <c r="T115" s="144"/>
    </row>
    <row r="116" spans="1:22" s="109" customFormat="1" ht="93.75" customHeight="1">
      <c r="A116" s="105"/>
      <c r="B116" s="105"/>
      <c r="C116" s="158"/>
      <c r="D116" s="164"/>
      <c r="E116" s="104" t="s">
        <v>136</v>
      </c>
      <c r="F116" s="104" t="s">
        <v>202</v>
      </c>
      <c r="G116" s="104" t="s">
        <v>206</v>
      </c>
      <c r="H116" s="104" t="s">
        <v>138</v>
      </c>
      <c r="I116" s="104" t="s">
        <v>139</v>
      </c>
      <c r="J116" s="162" t="s">
        <v>149</v>
      </c>
      <c r="K116" s="83" t="s">
        <v>142</v>
      </c>
      <c r="L116" s="77"/>
      <c r="M116" s="80"/>
      <c r="N116" s="107"/>
      <c r="O116" s="170"/>
      <c r="P116" s="170"/>
      <c r="Q116" s="170"/>
      <c r="R116" s="170"/>
      <c r="S116" s="80"/>
      <c r="T116" s="88"/>
    </row>
    <row r="117" spans="1:22" s="146" customFormat="1" ht="45" customHeight="1">
      <c r="A117" s="137"/>
      <c r="B117" s="137"/>
      <c r="C117" s="158" t="s">
        <v>207</v>
      </c>
      <c r="D117" s="138"/>
      <c r="E117" s="140" t="str">
        <f>IF(I22=1,"NÃO",IF(I23=1,"NÃO",IF(I24=1,"NÃO",IF(I51=1,"NÃO",IF(I21=1,"NÃO","OK")))))</f>
        <v>OK</v>
      </c>
      <c r="F117" s="140" t="str">
        <f>IF(I55=1,"OK","NÃO")</f>
        <v>NÃO</v>
      </c>
      <c r="G117" s="140" t="str">
        <f>IF(OR(I56=1,I60=1),"OK","NÃO")</f>
        <v>NÃO</v>
      </c>
      <c r="H117" s="140" t="str">
        <f>IF(I18=1,"OK",IF(I18=3,"OK","NÃO"))</f>
        <v>OK</v>
      </c>
      <c r="I117" s="140" t="str">
        <f>IF(N6=0,"OK",IF(N13&gt;=(N6*2/3),"OK","NÃO"))</f>
        <v>OK</v>
      </c>
      <c r="J117" s="140" t="str">
        <f>IF(N8=0,"NÃO","OK")</f>
        <v>NÃO</v>
      </c>
      <c r="K117" s="140" t="str">
        <f>IF(I72=1,"OK",IF(I72=3,"OK","NÃO"))</f>
        <v>OK</v>
      </c>
      <c r="L117" s="140"/>
      <c r="M117" s="148"/>
      <c r="N117" s="144"/>
      <c r="O117" s="141" t="str">
        <f>IF(SUM(E118:K118)=7,"Preenche os requisitos","Não preenche os requisitos")</f>
        <v>Não preenche os requisitos</v>
      </c>
      <c r="P117" s="140"/>
      <c r="Q117" s="140"/>
      <c r="R117" s="140"/>
      <c r="S117" s="140"/>
      <c r="T117" s="144"/>
    </row>
    <row r="118" spans="1:22" s="146" customFormat="1" ht="18" customHeight="1">
      <c r="A118" s="137"/>
      <c r="B118" s="137"/>
      <c r="C118" s="158"/>
      <c r="D118" s="138"/>
      <c r="E118" s="139">
        <f t="shared" ref="E118:K118" si="26">IF(E117="OK",1,2)</f>
        <v>1</v>
      </c>
      <c r="F118" s="139">
        <f t="shared" si="26"/>
        <v>2</v>
      </c>
      <c r="G118" s="139">
        <f t="shared" si="26"/>
        <v>2</v>
      </c>
      <c r="H118" s="139">
        <f t="shared" si="26"/>
        <v>1</v>
      </c>
      <c r="I118" s="139">
        <f t="shared" si="26"/>
        <v>1</v>
      </c>
      <c r="J118" s="139">
        <f t="shared" si="26"/>
        <v>2</v>
      </c>
      <c r="K118" s="139">
        <f t="shared" si="26"/>
        <v>1</v>
      </c>
      <c r="L118" s="140"/>
      <c r="M118" s="148"/>
      <c r="N118" s="144"/>
      <c r="O118" s="145"/>
      <c r="P118" s="140"/>
      <c r="Q118" s="140"/>
      <c r="R118" s="140"/>
      <c r="S118" s="140"/>
      <c r="T118" s="144"/>
    </row>
    <row r="119" spans="1:22" s="109" customFormat="1" ht="59.25" customHeight="1">
      <c r="A119" s="105"/>
      <c r="B119" s="105"/>
      <c r="C119" s="158"/>
      <c r="D119" s="164"/>
      <c r="E119" s="104" t="s">
        <v>136</v>
      </c>
      <c r="F119" s="104" t="s">
        <v>208</v>
      </c>
      <c r="G119" s="104" t="s">
        <v>138</v>
      </c>
      <c r="H119" s="104" t="s">
        <v>139</v>
      </c>
      <c r="I119" s="104" t="s">
        <v>175</v>
      </c>
      <c r="J119" s="34"/>
      <c r="K119" s="34"/>
      <c r="L119" s="170"/>
      <c r="M119" s="77"/>
      <c r="N119" s="80"/>
      <c r="O119" s="107"/>
      <c r="P119" s="170"/>
      <c r="Q119" s="170"/>
      <c r="R119" s="170"/>
      <c r="S119" s="170"/>
      <c r="T119" s="80"/>
    </row>
    <row r="120" spans="1:22" s="146" customFormat="1" ht="178.5">
      <c r="A120" s="137"/>
      <c r="B120" s="137"/>
      <c r="C120" s="158" t="s">
        <v>209</v>
      </c>
      <c r="D120" s="138"/>
      <c r="E120" s="139" t="str">
        <f>IF(I22=1,"NÃO",IF(I23=1,"NÃO",IF(I24=1,"NÃO",IF(I51=1,"NÃO",IF(I21=1,"NÃO","OK")))))</f>
        <v>OK</v>
      </c>
      <c r="F120" s="139" t="str">
        <f>IF(I26=1,"OK","NÃO")</f>
        <v>NÃO</v>
      </c>
      <c r="G120" s="139" t="str">
        <f>IF(I18=1,"OK",IF(I18=3,"OK","NÃO"))</f>
        <v>OK</v>
      </c>
      <c r="H120" s="139" t="str">
        <f>IF(N6=0,"OK",IF(N13&gt;=(N6*2/3),"OK","NÃO"))</f>
        <v>OK</v>
      </c>
      <c r="I120" s="139" t="str">
        <f>IF(AND(N8=0,N7=0),"NÃO","OK")</f>
        <v>NÃO</v>
      </c>
      <c r="J120" s="139"/>
      <c r="K120" s="139"/>
      <c r="L120" s="140"/>
      <c r="M120" s="148"/>
      <c r="N120" s="144"/>
      <c r="O120" s="141" t="str">
        <f>IF(SUM(E121:I121)=5,"Preenche os requisitos","Não preenche os requisitos")</f>
        <v>Não preenche os requisitos</v>
      </c>
      <c r="P120" s="140"/>
      <c r="Q120" s="140"/>
      <c r="R120" s="140"/>
      <c r="S120" s="140"/>
      <c r="T120" s="144"/>
    </row>
    <row r="121" spans="1:22" s="146" customFormat="1" ht="18" customHeight="1">
      <c r="A121" s="137"/>
      <c r="B121" s="137"/>
      <c r="C121" s="158"/>
      <c r="D121" s="138"/>
      <c r="E121" s="139">
        <f>IF(E120="OK",1,2)</f>
        <v>1</v>
      </c>
      <c r="F121" s="139">
        <f t="shared" ref="F121:H121" si="27">IF(F120="OK",1,2)</f>
        <v>2</v>
      </c>
      <c r="G121" s="139">
        <f t="shared" si="27"/>
        <v>1</v>
      </c>
      <c r="H121" s="139">
        <f t="shared" si="27"/>
        <v>1</v>
      </c>
      <c r="I121" s="139">
        <f>IF(I120="OK",1,2)</f>
        <v>2</v>
      </c>
      <c r="J121" s="139"/>
      <c r="K121" s="139"/>
      <c r="L121" s="140"/>
      <c r="M121" s="148"/>
      <c r="N121" s="144"/>
      <c r="O121" s="145"/>
      <c r="P121" s="140"/>
      <c r="Q121" s="140"/>
      <c r="R121" s="140"/>
      <c r="S121" s="140"/>
      <c r="T121" s="144"/>
    </row>
    <row r="122" spans="1:22" s="109" customFormat="1" ht="162.75" customHeight="1">
      <c r="A122" s="105"/>
      <c r="B122" s="105"/>
      <c r="C122" s="158"/>
      <c r="D122" s="164"/>
      <c r="E122" s="104" t="s">
        <v>136</v>
      </c>
      <c r="F122" s="169" t="s">
        <v>210</v>
      </c>
      <c r="G122" s="169" t="s">
        <v>138</v>
      </c>
      <c r="H122" s="104" t="s">
        <v>139</v>
      </c>
      <c r="I122" s="162" t="s">
        <v>149</v>
      </c>
      <c r="J122" s="162" t="s">
        <v>211</v>
      </c>
      <c r="K122" s="169" t="s">
        <v>212</v>
      </c>
      <c r="L122" s="167" t="s">
        <v>213</v>
      </c>
      <c r="M122" s="89" t="s">
        <v>214</v>
      </c>
      <c r="N122" s="80"/>
      <c r="O122" s="107"/>
      <c r="P122" s="170"/>
      <c r="Q122" s="170"/>
      <c r="R122" s="170"/>
      <c r="S122" s="170"/>
      <c r="T122" s="80"/>
    </row>
    <row r="123" spans="1:22" s="146" customFormat="1" ht="43.5" customHeight="1">
      <c r="A123" s="137"/>
      <c r="B123" s="137"/>
      <c r="C123" s="158" t="s">
        <v>215</v>
      </c>
      <c r="D123" s="138"/>
      <c r="E123" s="139" t="str">
        <f>IF(I22=1,"NÃO",IF(I23=1,"NÃO",IF(I24=1,"NÃO",IF(I51=1,"NÃO",IF(I21=1,"NÃO","OK")))))</f>
        <v>OK</v>
      </c>
      <c r="F123" s="139" t="str">
        <f>IF(I52=1,"NÃO","OK")</f>
        <v>OK</v>
      </c>
      <c r="G123" s="139" t="str">
        <f>IF(I18=1,"OK",IF(I18=3,"OK","NÃO"))</f>
        <v>OK</v>
      </c>
      <c r="H123" s="139" t="str">
        <f>IF(N6=0,"OK",IF(N13&gt;=(N6*2/3),"OK","NÃO"))</f>
        <v>OK</v>
      </c>
      <c r="I123" s="139" t="str">
        <f>IF(N8=0,"NÃO","OK")</f>
        <v>NÃO</v>
      </c>
      <c r="J123" s="139" t="str">
        <f>IF(N7=0,"OK","NÃO")</f>
        <v>OK</v>
      </c>
      <c r="K123" s="139" t="str">
        <f>IF(I67=1,"NÃO","OK")</f>
        <v>OK</v>
      </c>
      <c r="L123" s="140" t="str">
        <f>IF(I31=2,"NÃO","OK")</f>
        <v>NÃO</v>
      </c>
      <c r="M123" s="148" t="str">
        <f>IF(OR(AND(I33=1,((D6+I7+I8)&lt;=N13)),AND(I34=1,I35=1,((D6+I7+I8)&lt;=N13)),AND(I43=1,((D6+I7+I8)&lt;=N13)),AND(OR(D53&lt;=DATE(2025-60,12,25),D53&gt;=DATE(2025-21,12,25)),((D6+I7+I8)&lt;=N13)),I44=1),"OK","NÃO")</f>
        <v>OK</v>
      </c>
      <c r="N123" s="144"/>
      <c r="O123" s="153" t="str">
        <f>IF(SUM(E124:M124)=9,"Preenche os requisitos","Não preenche os requisitos")</f>
        <v>Não preenche os requisitos</v>
      </c>
      <c r="P123" s="140"/>
      <c r="Q123" s="140"/>
      <c r="R123" s="140"/>
      <c r="S123" s="140"/>
      <c r="T123" s="144"/>
    </row>
    <row r="124" spans="1:22" s="146" customFormat="1" ht="18" customHeight="1">
      <c r="A124" s="137"/>
      <c r="B124" s="137"/>
      <c r="C124" s="158"/>
      <c r="D124" s="138"/>
      <c r="E124" s="139">
        <f t="shared" ref="E124:M124" si="28">IF(E123="OK",1,2)</f>
        <v>1</v>
      </c>
      <c r="F124" s="139">
        <f t="shared" si="28"/>
        <v>1</v>
      </c>
      <c r="G124" s="139">
        <f t="shared" si="28"/>
        <v>1</v>
      </c>
      <c r="H124" s="139">
        <f t="shared" si="28"/>
        <v>1</v>
      </c>
      <c r="I124" s="139">
        <f t="shared" si="28"/>
        <v>2</v>
      </c>
      <c r="J124" s="139">
        <f t="shared" si="28"/>
        <v>1</v>
      </c>
      <c r="K124" s="139">
        <f t="shared" si="28"/>
        <v>1</v>
      </c>
      <c r="L124" s="139">
        <f t="shared" si="28"/>
        <v>2</v>
      </c>
      <c r="M124" s="139">
        <f t="shared" si="28"/>
        <v>1</v>
      </c>
      <c r="N124" s="144"/>
      <c r="O124" s="145"/>
      <c r="P124" s="140"/>
      <c r="Q124" s="140"/>
      <c r="R124" s="140"/>
      <c r="S124" s="140"/>
      <c r="T124" s="144"/>
    </row>
    <row r="125" spans="1:22" s="81" customFormat="1" ht="142.5" customHeight="1">
      <c r="B125" s="109"/>
      <c r="C125" s="108"/>
      <c r="D125" s="171"/>
      <c r="E125" s="104" t="s">
        <v>136</v>
      </c>
      <c r="F125" s="104" t="s">
        <v>216</v>
      </c>
      <c r="G125" s="104" t="s">
        <v>175</v>
      </c>
      <c r="H125" s="172"/>
      <c r="I125" s="172"/>
      <c r="J125" s="110"/>
      <c r="K125" s="110"/>
      <c r="L125" s="88"/>
      <c r="M125" s="165"/>
      <c r="N125" s="83"/>
      <c r="O125" s="160"/>
      <c r="P125" s="88"/>
      <c r="Q125" s="88"/>
      <c r="R125" s="88"/>
      <c r="S125" s="88"/>
      <c r="T125" s="88"/>
      <c r="U125" s="109"/>
    </row>
    <row r="126" spans="1:22" s="135" customFormat="1" ht="25.5" customHeight="1">
      <c r="A126" s="136"/>
      <c r="B126" s="137"/>
      <c r="C126" s="158" t="s">
        <v>217</v>
      </c>
      <c r="D126" s="138"/>
      <c r="E126" s="144" t="str">
        <f>IF(I22=1,"NÃO",IF(I23=1,"NÃO",IF(I24=1,"NÃO",IF(I51=1,"NÃO",IF(I21=1,"NÃO","OK")))))</f>
        <v>OK</v>
      </c>
      <c r="F126" s="144" t="str">
        <f>IF(D59&gt;20000,IF(I60=1,"OK","NÃO"),"OK")</f>
        <v>OK</v>
      </c>
      <c r="G126" s="149" t="str">
        <f>IF(AND(N8=0,N7=0),"NÃO","OK")</f>
        <v>NÃO</v>
      </c>
      <c r="H126" s="149"/>
      <c r="I126" s="149"/>
      <c r="J126" s="149"/>
      <c r="K126" s="149"/>
      <c r="L126" s="144"/>
      <c r="M126" s="148"/>
      <c r="N126" s="144"/>
      <c r="O126" s="141" t="str">
        <f>IF(D59=0,"A analisar",IF(SUM(E127:G127)=3,"Preenche os requisitos","Não preenche os requisitos"))</f>
        <v>A analisar</v>
      </c>
      <c r="P126" s="144"/>
      <c r="Q126" s="141"/>
      <c r="R126" s="141"/>
      <c r="S126" s="141"/>
      <c r="T126" s="141"/>
      <c r="U126" s="146"/>
    </row>
    <row r="127" spans="1:22" s="135" customFormat="1" ht="25.5" customHeight="1">
      <c r="A127" s="136"/>
      <c r="B127" s="137"/>
      <c r="C127" s="158"/>
      <c r="D127" s="138"/>
      <c r="E127" s="139">
        <f>IF(E126="OK",1,2)</f>
        <v>1</v>
      </c>
      <c r="F127" s="139">
        <f>IF(F126="OK",1,2)</f>
        <v>1</v>
      </c>
      <c r="G127" s="140">
        <f>IF(G126="OK",1,2)</f>
        <v>2</v>
      </c>
      <c r="H127" s="140"/>
      <c r="I127" s="149"/>
      <c r="J127" s="149"/>
      <c r="K127" s="149"/>
      <c r="L127" s="144"/>
      <c r="M127" s="148"/>
      <c r="N127" s="144"/>
      <c r="O127" s="145"/>
      <c r="P127" s="144"/>
      <c r="Q127" s="144"/>
      <c r="R127" s="144"/>
      <c r="S127" s="144"/>
      <c r="T127" s="144"/>
      <c r="U127" s="146"/>
    </row>
    <row r="128" spans="1:22" s="81" customFormat="1" ht="86.25" customHeight="1">
      <c r="A128" s="75"/>
      <c r="B128" s="105"/>
      <c r="C128" s="158"/>
      <c r="D128" s="164"/>
      <c r="E128" s="104" t="s">
        <v>136</v>
      </c>
      <c r="F128" s="104" t="s">
        <v>138</v>
      </c>
      <c r="G128" s="104" t="s">
        <v>139</v>
      </c>
      <c r="H128" s="162" t="s">
        <v>149</v>
      </c>
      <c r="I128" s="173" t="s">
        <v>218</v>
      </c>
      <c r="J128" s="79" t="s">
        <v>219</v>
      </c>
      <c r="K128" s="79" t="s">
        <v>220</v>
      </c>
      <c r="L128" s="107" t="s">
        <v>221</v>
      </c>
      <c r="M128" s="107"/>
      <c r="N128" s="107"/>
      <c r="O128" s="77"/>
      <c r="P128" s="80"/>
      <c r="Q128" s="107"/>
      <c r="R128" s="80"/>
      <c r="S128" s="80"/>
      <c r="T128" s="80"/>
      <c r="U128" s="113"/>
      <c r="V128" s="80"/>
    </row>
    <row r="129" spans="1:23" s="135" customFormat="1" ht="57" customHeight="1">
      <c r="A129" s="136"/>
      <c r="B129" s="137"/>
      <c r="C129" s="158" t="s">
        <v>222</v>
      </c>
      <c r="D129" s="138"/>
      <c r="E129" s="139" t="str">
        <f>IF(I22=1,"NÃO",IF(I23=1,"NÃO",IF(I24=1,"NÃO",IF(I51=1,"NÃO",IF(I21=1,"NÃO","OK")))))</f>
        <v>OK</v>
      </c>
      <c r="F129" s="139" t="str">
        <f>IF(I18=1,"OK",IF(I18=3,"OK","NÃO"))</f>
        <v>OK</v>
      </c>
      <c r="G129" s="140" t="str">
        <f>IF(N6=0,"OK",IF(N13&gt;=(N6*2/3),"OK","NÃO"))</f>
        <v>OK</v>
      </c>
      <c r="H129" s="140" t="str">
        <f>IF(N8=0,"NÃO","OK")</f>
        <v>NÃO</v>
      </c>
      <c r="I129" s="149" t="str">
        <f>IF(N9&lt;=8*360,"OK","NÃO")</f>
        <v>OK</v>
      </c>
      <c r="J129" s="149" t="str">
        <f>IF(I20=2,"NÃO","OK")</f>
        <v>NÃO</v>
      </c>
      <c r="K129" s="149" t="str">
        <f>IF(I31=2,"NÃO","OK")</f>
        <v>NÃO</v>
      </c>
      <c r="L129" s="144" t="str">
        <f>IF((D6+F8+F7)&lt;=(N13),"OK","NÃO")</f>
        <v>OK</v>
      </c>
      <c r="M129" s="144"/>
      <c r="N129" s="144"/>
      <c r="O129" s="141" t="str">
        <f>IF(SUM(E130:L130)=8,"Preenche os requisitos","Não preenche os requisitos")</f>
        <v>Não preenche os requisitos</v>
      </c>
      <c r="P129" s="141" t="str">
        <f>IF(SUM(E130:L130)=8,"Preenche os requisitos","Não preenche os requisitos")</f>
        <v>Não preenche os requisitos</v>
      </c>
      <c r="Q129" s="145"/>
      <c r="R129" s="144"/>
      <c r="S129" s="144"/>
      <c r="T129" s="144"/>
      <c r="U129" s="154"/>
      <c r="V129" s="144"/>
    </row>
    <row r="130" spans="1:23" s="135" customFormat="1" ht="25.5" customHeight="1">
      <c r="A130" s="136"/>
      <c r="B130" s="137"/>
      <c r="C130" s="158"/>
      <c r="D130" s="138"/>
      <c r="E130" s="139">
        <f t="shared" ref="E130" si="29">IF(E129="OK",1,2)</f>
        <v>1</v>
      </c>
      <c r="F130" s="139">
        <f t="shared" ref="F130" si="30">IF(F129="OK",1,2)</f>
        <v>1</v>
      </c>
      <c r="G130" s="139">
        <f t="shared" ref="G130" si="31">IF(G129="OK",1,2)</f>
        <v>1</v>
      </c>
      <c r="H130" s="139">
        <f t="shared" ref="H130" si="32">IF(H129="OK",1,2)</f>
        <v>2</v>
      </c>
      <c r="I130" s="139">
        <f t="shared" ref="I130" si="33">IF(I129="OK",1,2)</f>
        <v>1</v>
      </c>
      <c r="J130" s="139">
        <f t="shared" ref="J130" si="34">IF(J129="OK",1,2)</f>
        <v>2</v>
      </c>
      <c r="K130" s="139">
        <f t="shared" ref="K130" si="35">IF(K129="OK",1,2)</f>
        <v>2</v>
      </c>
      <c r="L130" s="139">
        <f t="shared" ref="L130" si="36">IF(L129="OK",1,2)</f>
        <v>1</v>
      </c>
      <c r="M130" s="139"/>
      <c r="N130" s="139"/>
      <c r="O130" s="148"/>
      <c r="P130" s="144"/>
      <c r="Q130" s="145"/>
      <c r="R130" s="144"/>
      <c r="S130" s="144"/>
      <c r="T130" s="144"/>
      <c r="U130" s="154"/>
      <c r="V130" s="144"/>
    </row>
    <row r="131" spans="1:23" s="81" customFormat="1" ht="96" customHeight="1">
      <c r="A131" s="75"/>
      <c r="B131" s="105"/>
      <c r="C131" s="158"/>
      <c r="D131" s="164"/>
      <c r="E131" s="104" t="s">
        <v>136</v>
      </c>
      <c r="F131" s="104" t="s">
        <v>138</v>
      </c>
      <c r="G131" s="104" t="s">
        <v>139</v>
      </c>
      <c r="H131" s="162" t="s">
        <v>149</v>
      </c>
      <c r="I131" s="173" t="s">
        <v>223</v>
      </c>
      <c r="J131" s="79" t="s">
        <v>224</v>
      </c>
      <c r="K131" s="79" t="s">
        <v>220</v>
      </c>
      <c r="L131" s="107" t="s">
        <v>225</v>
      </c>
      <c r="M131" s="107"/>
      <c r="N131" s="107"/>
      <c r="O131" s="77"/>
      <c r="P131" s="80"/>
      <c r="Q131" s="107"/>
      <c r="R131" s="80"/>
      <c r="S131" s="80"/>
      <c r="T131" s="80"/>
      <c r="U131" s="113"/>
      <c r="V131" s="80"/>
    </row>
    <row r="132" spans="1:23" s="135" customFormat="1" ht="38.25">
      <c r="A132" s="136"/>
      <c r="B132" s="137"/>
      <c r="C132" s="158" t="s">
        <v>226</v>
      </c>
      <c r="D132" s="138"/>
      <c r="E132" s="139" t="str">
        <f>IF(I22=1,"NÃO",IF(I23=1,"NÃO",IF(I24=1,"NÃO",IF(I51=1,"NÃO",IF(I21=1,"NÃO","OK")))))</f>
        <v>OK</v>
      </c>
      <c r="F132" s="139" t="str">
        <f>IF(I18=1,"OK",IF(I18=3,"OK","NÃO"))</f>
        <v>OK</v>
      </c>
      <c r="G132" s="139" t="str">
        <f>IF(N6=0,"OK",IF(N13&gt;=(N6*2/3),"OK","NÃO"))</f>
        <v>OK</v>
      </c>
      <c r="H132" s="139" t="str">
        <f>IF(N8=0,"NÃO","OK")</f>
        <v>NÃO</v>
      </c>
      <c r="I132" s="139" t="str">
        <f>IF(OR(I33=1,(AND(I34=1,I35=1)),(AND(I36=1,I37=1))),"OK","NÃO")</f>
        <v>NÃO</v>
      </c>
      <c r="J132" s="139" t="str">
        <f>IF(I20=1,"NÃO","OK")</f>
        <v>OK</v>
      </c>
      <c r="K132" s="139" t="str">
        <f>IF(I31=2,"NÃO","OK")</f>
        <v>NÃO</v>
      </c>
      <c r="L132" s="139" t="str">
        <f>IF((D6+G8+G7)&lt;=(N13),"OK","NÃO")</f>
        <v>OK</v>
      </c>
      <c r="M132" s="139"/>
      <c r="N132" s="139"/>
      <c r="O132" s="141" t="str">
        <f>IF(SUM(E133:L133)=8,"Preenche os requisitos","Não preenche os requisitos")</f>
        <v>Não preenche os requisitos</v>
      </c>
      <c r="P132" s="141" t="str">
        <f>IF(SUM(E133:L133)=8,"Preenche os requisitos","Não preenche os requisitos")</f>
        <v>Não preenche os requisitos</v>
      </c>
      <c r="Q132" s="145"/>
      <c r="R132" s="144"/>
      <c r="S132" s="144"/>
      <c r="T132" s="144"/>
      <c r="U132" s="154"/>
      <c r="V132" s="144"/>
    </row>
    <row r="133" spans="1:23" s="135" customFormat="1" ht="25.5" customHeight="1">
      <c r="A133" s="136"/>
      <c r="B133" s="137"/>
      <c r="C133" s="158"/>
      <c r="D133" s="138"/>
      <c r="E133" s="139">
        <f t="shared" ref="E133" si="37">IF(E132="OK",1,2)</f>
        <v>1</v>
      </c>
      <c r="F133" s="139">
        <f t="shared" ref="F133" si="38">IF(F132="OK",1,2)</f>
        <v>1</v>
      </c>
      <c r="G133" s="139">
        <f t="shared" ref="G133" si="39">IF(G132="OK",1,2)</f>
        <v>1</v>
      </c>
      <c r="H133" s="139">
        <f t="shared" ref="H133" si="40">IF(H132="OK",1,2)</f>
        <v>2</v>
      </c>
      <c r="I133" s="139">
        <f t="shared" ref="I133" si="41">IF(I132="OK",1,2)</f>
        <v>2</v>
      </c>
      <c r="J133" s="139">
        <f t="shared" ref="J133" si="42">IF(J132="OK",1,2)</f>
        <v>1</v>
      </c>
      <c r="K133" s="139">
        <f t="shared" ref="K133" si="43">IF(K132="OK",1,2)</f>
        <v>2</v>
      </c>
      <c r="L133" s="139">
        <f t="shared" ref="L133" si="44">IF(L132="OK",1,2)</f>
        <v>1</v>
      </c>
      <c r="M133" s="139"/>
      <c r="N133" s="139"/>
      <c r="O133" s="148"/>
      <c r="P133" s="144"/>
      <c r="Q133" s="145"/>
      <c r="R133" s="144"/>
      <c r="S133" s="144"/>
      <c r="T133" s="144"/>
      <c r="U133" s="154"/>
      <c r="V133" s="144"/>
    </row>
    <row r="134" spans="1:23" s="81" customFormat="1" ht="93.75" customHeight="1">
      <c r="A134" s="75"/>
      <c r="B134" s="105"/>
      <c r="C134" s="158"/>
      <c r="D134" s="164"/>
      <c r="E134" s="104" t="s">
        <v>136</v>
      </c>
      <c r="F134" s="104" t="s">
        <v>138</v>
      </c>
      <c r="G134" s="104" t="s">
        <v>139</v>
      </c>
      <c r="H134" s="162" t="s">
        <v>149</v>
      </c>
      <c r="I134" s="173" t="s">
        <v>223</v>
      </c>
      <c r="J134" s="79" t="s">
        <v>219</v>
      </c>
      <c r="K134" s="79" t="s">
        <v>220</v>
      </c>
      <c r="L134" s="107" t="s">
        <v>225</v>
      </c>
      <c r="M134" s="107"/>
      <c r="N134" s="107"/>
      <c r="O134" s="77"/>
      <c r="P134" s="80"/>
      <c r="Q134" s="107"/>
      <c r="R134" s="80"/>
      <c r="S134" s="80"/>
      <c r="T134" s="80"/>
      <c r="U134" s="113"/>
      <c r="V134" s="80"/>
    </row>
    <row r="135" spans="1:23" s="135" customFormat="1" ht="47.25" customHeight="1">
      <c r="A135" s="136"/>
      <c r="B135" s="137"/>
      <c r="C135" s="158" t="s">
        <v>227</v>
      </c>
      <c r="D135" s="138"/>
      <c r="E135" s="139" t="str">
        <f>IF(I22=1,"NÃO",IF(I23=1,"NÃO",IF(I24=1,"NÃO",IF(I51=1,"NÃO",IF(I21=1,"NÃO","OK")))))</f>
        <v>OK</v>
      </c>
      <c r="F135" s="139" t="str">
        <f>IF(I18=1,"OK",IF(I18=3,"OK","NÃO"))</f>
        <v>OK</v>
      </c>
      <c r="G135" s="139" t="str">
        <f>IF(N6=0,"OK",IF(N13&gt;=(N6*2/3),"OK","NÃO"))</f>
        <v>OK</v>
      </c>
      <c r="H135" s="139" t="str">
        <f>IF(N8=0,"NÃO","OK")</f>
        <v>NÃO</v>
      </c>
      <c r="I135" s="139" t="str">
        <f>IF(OR(I33=1,(AND(I34=1,I35=1)),(AND(I36=1,I37=1))),"OK","NÃO")</f>
        <v>NÃO</v>
      </c>
      <c r="J135" s="139" t="str">
        <f>IF(I20=2,"NÃO","OK")</f>
        <v>NÃO</v>
      </c>
      <c r="K135" s="139" t="str">
        <f>IF(I31=2,"NÃO","OK")</f>
        <v>NÃO</v>
      </c>
      <c r="L135" s="139" t="str">
        <f>IF((D6+G8+G7)&lt;=(N13),"OK","NÃO")</f>
        <v>OK</v>
      </c>
      <c r="M135" s="139"/>
      <c r="N135" s="139"/>
      <c r="O135" s="141" t="str">
        <f>IF(SUM(E136:L136)=8,"Preenche os requisitos","Não preenche os requisitos")</f>
        <v>Não preenche os requisitos</v>
      </c>
      <c r="P135" s="141" t="str">
        <f>IF(SUM(E136:L136)=8,"Preenche os requisitos","Não preenche os requisitos")</f>
        <v>Não preenche os requisitos</v>
      </c>
      <c r="Q135" s="145"/>
      <c r="R135" s="144"/>
      <c r="S135" s="144"/>
      <c r="T135" s="144"/>
      <c r="U135" s="154"/>
      <c r="V135" s="144"/>
    </row>
    <row r="136" spans="1:23" s="135" customFormat="1" ht="25.5" customHeight="1">
      <c r="A136" s="136"/>
      <c r="B136" s="137"/>
      <c r="C136" s="158"/>
      <c r="D136" s="138"/>
      <c r="E136" s="139">
        <f t="shared" ref="E136" si="45">IF(E135="OK",1,2)</f>
        <v>1</v>
      </c>
      <c r="F136" s="139">
        <f t="shared" ref="F136" si="46">IF(F135="OK",1,2)</f>
        <v>1</v>
      </c>
      <c r="G136" s="139">
        <f t="shared" ref="G136" si="47">IF(G135="OK",1,2)</f>
        <v>1</v>
      </c>
      <c r="H136" s="139">
        <f t="shared" ref="H136" si="48">IF(H135="OK",1,2)</f>
        <v>2</v>
      </c>
      <c r="I136" s="139">
        <f t="shared" ref="I136" si="49">IF(I135="OK",1,2)</f>
        <v>2</v>
      </c>
      <c r="J136" s="139">
        <f t="shared" ref="J136" si="50">IF(J135="OK",1,2)</f>
        <v>2</v>
      </c>
      <c r="K136" s="139">
        <f t="shared" ref="K136" si="51">IF(K135="OK",1,2)</f>
        <v>2</v>
      </c>
      <c r="L136" s="139">
        <f t="shared" ref="L136" si="52">IF(L135="OK",1,2)</f>
        <v>1</v>
      </c>
      <c r="M136" s="139"/>
      <c r="N136" s="139"/>
      <c r="O136" s="148"/>
      <c r="P136" s="144"/>
      <c r="Q136" s="145"/>
      <c r="R136" s="144"/>
      <c r="S136" s="144"/>
      <c r="T136" s="144"/>
      <c r="U136" s="154"/>
      <c r="V136" s="144"/>
    </row>
    <row r="137" spans="1:23" s="81" customFormat="1" ht="165" customHeight="1">
      <c r="B137" s="109"/>
      <c r="C137" s="88"/>
      <c r="D137" s="159"/>
      <c r="E137" s="104" t="s">
        <v>136</v>
      </c>
      <c r="F137" s="104" t="s">
        <v>138</v>
      </c>
      <c r="G137" s="104" t="s">
        <v>139</v>
      </c>
      <c r="H137" s="104" t="s">
        <v>228</v>
      </c>
      <c r="I137" s="104" t="s">
        <v>175</v>
      </c>
      <c r="J137" s="104"/>
      <c r="K137" s="83"/>
      <c r="L137" s="83"/>
      <c r="M137" s="83"/>
      <c r="N137" s="83"/>
      <c r="O137" s="165"/>
      <c r="P137" s="88"/>
      <c r="Q137" s="160"/>
      <c r="R137" s="88"/>
      <c r="S137" s="88"/>
      <c r="T137" s="88"/>
      <c r="U137" s="168"/>
      <c r="V137" s="88"/>
    </row>
    <row r="138" spans="1:23" s="135" customFormat="1" ht="25.5" customHeight="1">
      <c r="A138" s="136"/>
      <c r="B138" s="137"/>
      <c r="C138" s="108" t="s">
        <v>229</v>
      </c>
      <c r="D138" s="143"/>
      <c r="E138" s="144" t="str">
        <f>IF(I22=1,"NÃO",IF(I23=1,"NÃO",IF(I24=1,"NÃO",IF(I51=1,"NÃO","OK"))))</f>
        <v>OK</v>
      </c>
      <c r="F138" s="144" t="str">
        <f>IF(I18=1,"OK",IF(I18=3,"OK","NÃO"))</f>
        <v>OK</v>
      </c>
      <c r="G138" s="144" t="str">
        <f>IF(N6=0,"OK",IF(N13&gt;=(N6*2/3),"OK","NÃO"))</f>
        <v>OK</v>
      </c>
      <c r="H138" s="144" t="str">
        <f>IF(I20=2,IF((D6+G7+G8)&lt;N13,"OK","NÃO"),IF((D6+E7+E8)&lt;N13,"OK","NÃO"))</f>
        <v>OK</v>
      </c>
      <c r="I138" s="144" t="str">
        <f>IF(AND(N8=0,N7=0),"NÃO","OK")</f>
        <v>NÃO</v>
      </c>
      <c r="J138" s="144"/>
      <c r="K138" s="144"/>
      <c r="L138" s="144"/>
      <c r="M138" s="144"/>
      <c r="N138" s="144"/>
      <c r="O138" s="141" t="str">
        <f>IF(SUM(E139:I139)=5,"Preenche os requisitos","Não preenche os requisitos")</f>
        <v>Não preenche os requisitos</v>
      </c>
      <c r="P138" s="141" t="str">
        <f>IF(SUM(E139:I139)=5,"Preenche os requisitos","Não preenche os requisitos")</f>
        <v>Não preenche os requisitos</v>
      </c>
      <c r="Q138" s="144"/>
      <c r="R138" s="145"/>
      <c r="S138" s="144"/>
      <c r="T138" s="144"/>
      <c r="U138" s="154"/>
      <c r="V138" s="144"/>
      <c r="W138" s="144"/>
    </row>
    <row r="139" spans="1:23" s="135" customFormat="1" ht="47.25" customHeight="1">
      <c r="A139" s="136"/>
      <c r="B139" s="137"/>
      <c r="C139" s="108"/>
      <c r="D139" s="148"/>
      <c r="E139" s="139">
        <f>IF(E138="OK",1,2)</f>
        <v>1</v>
      </c>
      <c r="F139" s="139">
        <f>IF(F138="OK",1,2)</f>
        <v>1</v>
      </c>
      <c r="G139" s="139">
        <f>IF(G138="OK",1,2)</f>
        <v>1</v>
      </c>
      <c r="H139" s="139">
        <f>IF(H138="OK",1,2)</f>
        <v>1</v>
      </c>
      <c r="I139" s="139">
        <f>IF(I138="OK",1,2)</f>
        <v>2</v>
      </c>
      <c r="J139" s="144"/>
      <c r="K139" s="144"/>
      <c r="L139" s="144"/>
      <c r="M139" s="144"/>
      <c r="N139" s="144"/>
      <c r="O139" s="145"/>
      <c r="P139" s="145"/>
      <c r="Q139" s="144"/>
      <c r="R139" s="145"/>
      <c r="S139" s="144"/>
      <c r="T139" s="144"/>
      <c r="U139" s="154"/>
      <c r="V139" s="144"/>
      <c r="W139" s="144"/>
    </row>
    <row r="140" spans="1:23" s="81" customFormat="1" ht="116.25" customHeight="1">
      <c r="A140" s="75"/>
      <c r="B140" s="105"/>
      <c r="C140" s="108"/>
      <c r="D140" s="77"/>
      <c r="E140" s="104" t="s">
        <v>230</v>
      </c>
      <c r="F140" s="104" t="s">
        <v>138</v>
      </c>
      <c r="G140" s="104" t="s">
        <v>139</v>
      </c>
      <c r="H140" s="104" t="s">
        <v>231</v>
      </c>
      <c r="I140" s="104" t="s">
        <v>143</v>
      </c>
      <c r="J140" s="104" t="s">
        <v>175</v>
      </c>
      <c r="K140" s="104"/>
      <c r="L140" s="104"/>
      <c r="M140" s="104"/>
      <c r="N140" s="104"/>
      <c r="O140" s="88"/>
      <c r="P140" s="88"/>
      <c r="Q140" s="80"/>
      <c r="R140" s="107"/>
      <c r="S140" s="80"/>
      <c r="T140" s="80"/>
      <c r="U140" s="113"/>
      <c r="V140" s="80"/>
      <c r="W140" s="80"/>
    </row>
    <row r="141" spans="1:23" s="81" customFormat="1" ht="25.5" customHeight="1">
      <c r="A141" s="75"/>
      <c r="B141" s="105"/>
      <c r="C141" s="108" t="s">
        <v>232</v>
      </c>
      <c r="D141" s="77"/>
      <c r="E141" s="80" t="str">
        <f>IF(I22=1,"NÃO",IF(I23=1,"NÃO",IF(I24=1,"NÃO",IF(I51=1,"NÃO","OK"))))</f>
        <v>OK</v>
      </c>
      <c r="F141" s="80" t="str">
        <f>IF(I18=1,"OK",IF(I18=3,"OK","NÃO"))</f>
        <v>OK</v>
      </c>
      <c r="G141" s="80" t="str">
        <f>IF(N6=0,"OK",IF(N13&gt;=(N6*2/3),"OK","NÃO"))</f>
        <v>OK</v>
      </c>
      <c r="H141" s="80" t="str">
        <f>IF(I20=2,IF((D6+G7+G8)&lt;=N13,"OK","NÃO"),IF((D6+E7+E8)&lt;=N13,"OK","NÃO"))</f>
        <v>OK</v>
      </c>
      <c r="I141" s="80" t="str">
        <f>IF(OR(D53&lt;=DATE(2025-60,12,25),I32=1,I33=1,I34=1,I36=1,I41=1,I42=1,I44=1,I45=1),"OK","NÃO")</f>
        <v>OK</v>
      </c>
      <c r="J141" s="80" t="str">
        <f>IF(AND(N8=0,N7=0),"NÃO","OK")</f>
        <v>NÃO</v>
      </c>
      <c r="K141" s="80"/>
      <c r="L141" s="80"/>
      <c r="M141" s="80"/>
      <c r="N141" s="80"/>
      <c r="O141" s="106" t="str">
        <f>IF(SUM(E142:J142)=6,"Preenche os requisitos","Não preenche os requisitos")</f>
        <v>Não preenche os requisitos</v>
      </c>
      <c r="P141" s="106" t="str">
        <f>IF(SUM(E142:J142)=6,"Preenche os requisitos","Não preenche os requisitos")</f>
        <v>Não preenche os requisitos</v>
      </c>
      <c r="Q141" s="80"/>
      <c r="R141" s="107"/>
      <c r="S141" s="80"/>
      <c r="T141" s="80"/>
      <c r="U141" s="113"/>
      <c r="V141" s="80"/>
      <c r="W141" s="80"/>
    </row>
    <row r="142" spans="1:23" s="81" customFormat="1" ht="25.5" customHeight="1">
      <c r="A142" s="75"/>
      <c r="B142" s="105"/>
      <c r="C142" s="88"/>
      <c r="D142" s="77"/>
      <c r="E142" s="34">
        <f t="shared" ref="E142:J142" si="53">IF(E141="OK",1,2)</f>
        <v>1</v>
      </c>
      <c r="F142" s="34">
        <f t="shared" si="53"/>
        <v>1</v>
      </c>
      <c r="G142" s="34">
        <f t="shared" si="53"/>
        <v>1</v>
      </c>
      <c r="H142" s="34">
        <f t="shared" si="53"/>
        <v>1</v>
      </c>
      <c r="I142" s="34">
        <f t="shared" si="53"/>
        <v>1</v>
      </c>
      <c r="J142" s="34">
        <f t="shared" si="53"/>
        <v>2</v>
      </c>
      <c r="K142" s="80"/>
      <c r="L142" s="107"/>
      <c r="M142" s="107"/>
      <c r="N142" s="107"/>
      <c r="O142" s="107"/>
      <c r="P142" s="80"/>
      <c r="Q142" s="107"/>
      <c r="R142" s="80"/>
      <c r="S142" s="80"/>
      <c r="T142" s="80"/>
      <c r="U142" s="113"/>
      <c r="V142" s="80"/>
    </row>
    <row r="143" spans="1:23" s="111" customFormat="1" ht="25.5" customHeight="1">
      <c r="A143" s="75"/>
      <c r="B143" s="105"/>
      <c r="C143" s="88"/>
      <c r="D143" s="77"/>
      <c r="E143" s="80"/>
      <c r="F143" s="80"/>
      <c r="G143" s="80"/>
      <c r="H143" s="77"/>
      <c r="I143" s="80"/>
      <c r="J143" s="80"/>
      <c r="K143" s="80"/>
      <c r="L143" s="80"/>
      <c r="M143" s="80"/>
      <c r="N143" s="80"/>
      <c r="O143" s="107"/>
      <c r="P143" s="80"/>
      <c r="Q143" s="80"/>
      <c r="R143" s="80"/>
      <c r="S143" s="80"/>
      <c r="T143" s="80"/>
      <c r="U143" s="109"/>
      <c r="V143" s="81"/>
      <c r="W143" s="81"/>
    </row>
    <row r="144" spans="1:23" s="111" customFormat="1" ht="25.5" customHeight="1">
      <c r="A144" s="75"/>
      <c r="B144" s="75"/>
      <c r="C144" s="88"/>
      <c r="D144" s="89"/>
      <c r="E144" s="80"/>
      <c r="F144" s="80"/>
      <c r="G144" s="80"/>
      <c r="H144" s="77"/>
      <c r="I144" s="80"/>
      <c r="J144" s="80"/>
      <c r="K144" s="80"/>
      <c r="L144" s="80" t="s">
        <v>233</v>
      </c>
      <c r="M144" s="77"/>
      <c r="N144" s="80"/>
      <c r="O144" s="107"/>
      <c r="P144" s="80"/>
      <c r="Q144" s="80"/>
      <c r="R144" s="80"/>
      <c r="S144" s="80"/>
      <c r="T144" s="80"/>
      <c r="U144" s="109"/>
      <c r="V144" s="81"/>
      <c r="W144" s="81"/>
    </row>
    <row r="145" spans="1:21" ht="25.5" customHeight="1">
      <c r="C145" s="235" t="s">
        <v>234</v>
      </c>
      <c r="D145" s="37"/>
      <c r="F145" s="39" t="str">
        <f>IF(OR(O129="Preenche os requisitos",P129="Preenche os requisitos"),"Preenche os requisitos","Não preenche os requisitos")</f>
        <v>Não preenche os requisitos</v>
      </c>
      <c r="G145" s="38" t="str">
        <f>IF(F145="Preenche os requisitos",P8*1/4,"SEM COMUTAÇÃO")</f>
        <v>SEM COMUTAÇÃO</v>
      </c>
      <c r="H145" s="53" t="str">
        <f>IFERROR(""&amp;ROUNDDOWN(I145,0)&amp;" anos "&amp;ROUNDDOWN(J145,0)&amp;" meses "&amp;ROUND(K145,0)&amp;" dias","Sem Comutação")</f>
        <v>Sem Comutação</v>
      </c>
      <c r="I145" s="54" t="str">
        <f>IFERROR(G145/360,"-")</f>
        <v>-</v>
      </c>
      <c r="J145" s="54" t="str">
        <f>IFERROR((((G145/360)-ROUNDDOWN((G145/360),0))*12),"-")</f>
        <v>-</v>
      </c>
      <c r="K145" s="54" t="str">
        <f>IFERROR(((((G145/360)-ROUNDDOWN((G145/360),0))*12)-ROUNDDOWN((((G145/360)-ROUNDDOWN((G145/360),0))*12),0))*30,"-")</f>
        <v>-</v>
      </c>
      <c r="L145" s="208" t="e">
        <f>P9-G145</f>
        <v>#VALUE!</v>
      </c>
      <c r="M145" s="53" t="str">
        <f>IFERROR(""&amp;ROUNDDOWN(N145,0)&amp;" anos "&amp;ROUNDDOWN(O145,0)&amp;" meses "&amp;ROUND(P145,0)&amp;" dias","Sem Comutação")</f>
        <v>Sem Comutação</v>
      </c>
      <c r="N145" s="54" t="str">
        <f>IFERROR(L145/360,"-")</f>
        <v>-</v>
      </c>
      <c r="O145" s="54" t="str">
        <f>IFERROR((((L145/360)-ROUNDDOWN((L145/360),0))*12),"-")</f>
        <v>-</v>
      </c>
      <c r="P145" s="54" t="str">
        <f>IFERROR(((((L145/360)-ROUNDDOWN((L145/360),0))*12)-ROUNDDOWN((((L145/360)-ROUNDDOWN((L145/360),0))*12),0))*30,"-")</f>
        <v>-</v>
      </c>
      <c r="U145" s="68"/>
    </row>
    <row r="146" spans="1:21" ht="25.5" customHeight="1">
      <c r="C146" s="235" t="s">
        <v>235</v>
      </c>
      <c r="D146" s="37"/>
      <c r="F146" s="39" t="str">
        <f>IF(OR(O132="Preenche os requisitos",P132="Preenche os requisitos"),"Preenche os requisitos","Não preenche os requisitos")</f>
        <v>Não preenche os requisitos</v>
      </c>
      <c r="G146" s="38" t="str">
        <f>IF(F146="Preenche os requisitos",P8*2/3,"SEM COMUTAÇÃO")</f>
        <v>SEM COMUTAÇÃO</v>
      </c>
      <c r="H146" s="53" t="str">
        <f>IFERROR(""&amp;ROUNDDOWN(I146,0)&amp;" anos "&amp;ROUNDDOWN(J146,0)&amp;" meses "&amp;ROUND(K146,0)&amp;" dias","Sem Comutação")</f>
        <v>Sem Comutação</v>
      </c>
      <c r="I146" s="54" t="str">
        <f>IFERROR(G146/360,"-")</f>
        <v>-</v>
      </c>
      <c r="J146" s="54" t="str">
        <f>IFERROR((((G146/360)-ROUNDDOWN((G146/360),0))*12),"-")</f>
        <v>-</v>
      </c>
      <c r="K146" s="54" t="str">
        <f>IFERROR(((((G146/360)-ROUNDDOWN((G146/360),0))*12)-ROUNDDOWN((((G146/360)-ROUNDDOWN((G146/360),0))*12),0))*30,"-")</f>
        <v>-</v>
      </c>
      <c r="L146" s="208" t="e">
        <f>P9-G146</f>
        <v>#VALUE!</v>
      </c>
      <c r="M146" s="53" t="str">
        <f t="shared" ref="M146:M149" si="54">IFERROR(""&amp;ROUNDDOWN(N146,0)&amp;" anos "&amp;ROUNDDOWN(O146,0)&amp;" meses "&amp;ROUND(P146,0)&amp;" dias","Sem Comutação")</f>
        <v>Sem Comutação</v>
      </c>
      <c r="N146" s="54" t="str">
        <f>IFERROR(L146/360,"-")</f>
        <v>-</v>
      </c>
      <c r="O146" s="54" t="str">
        <f>IFERROR((((L146/360)-ROUNDDOWN((L146/360),0))*12),"-")</f>
        <v>-</v>
      </c>
      <c r="P146" s="54" t="str">
        <f>IFERROR(((((L146/360)-ROUNDDOWN((L146/360),0))*12)-ROUNDDOWN((((L146/360)-ROUNDDOWN((L146/360),0))*12),0))*30,"-")</f>
        <v>-</v>
      </c>
      <c r="U146" s="68"/>
    </row>
    <row r="147" spans="1:21" ht="25.5" customHeight="1">
      <c r="C147" s="235" t="s">
        <v>236</v>
      </c>
      <c r="D147" s="37"/>
      <c r="F147" s="39" t="str">
        <f>IF(OR(O135="Preenche os requisitos",P135="Preenche os requisitos"),"Preenche os requisitos","Não preenche os requisitos")</f>
        <v>Não preenche os requisitos</v>
      </c>
      <c r="G147" s="38" t="str">
        <f>IF(F147="Preenche os requisitos",P8*1/2,"SEM COMUTAÇÃO")</f>
        <v>SEM COMUTAÇÃO</v>
      </c>
      <c r="H147" s="53" t="str">
        <f>IFERROR(""&amp;ROUNDDOWN(I147,0)&amp;" anos "&amp;ROUNDDOWN(J147,0)&amp;" meses "&amp;ROUND(K147,0)&amp;" dias","Sem Comutação")</f>
        <v>Sem Comutação</v>
      </c>
      <c r="I147" s="54" t="str">
        <f>IFERROR(G147/360,"-")</f>
        <v>-</v>
      </c>
      <c r="J147" s="54" t="str">
        <f>IFERROR((((G147/360)-ROUNDDOWN((G147/360),0))*12),"-")</f>
        <v>-</v>
      </c>
      <c r="K147" s="54" t="str">
        <f>IFERROR(((((G147/360)-ROUNDDOWN((G147/360),0))*12)-ROUNDDOWN((((G147/360)-ROUNDDOWN((G147/360),0))*12),0))*30,"-")</f>
        <v>-</v>
      </c>
      <c r="L147" s="208" t="e">
        <f>P9-G147</f>
        <v>#VALUE!</v>
      </c>
      <c r="M147" s="53" t="str">
        <f t="shared" si="54"/>
        <v>Sem Comutação</v>
      </c>
      <c r="N147" s="54" t="str">
        <f>IFERROR(L147/360,"-")</f>
        <v>-</v>
      </c>
      <c r="O147" s="54" t="str">
        <f>IFERROR((((L147/360)-ROUNDDOWN((L147/360),0))*12),"-")</f>
        <v>-</v>
      </c>
      <c r="P147" s="54" t="str">
        <f>IFERROR(((((L147/360)-ROUNDDOWN((L147/360),0))*12)-ROUNDDOWN((((L147/360)-ROUNDDOWN((L147/360),0))*12),0))*30,"-")</f>
        <v>-</v>
      </c>
      <c r="U147" s="68"/>
    </row>
    <row r="148" spans="1:21" ht="25.5" customHeight="1">
      <c r="C148" s="235" t="s">
        <v>237</v>
      </c>
      <c r="F148" s="39" t="str">
        <f>IF(OR(O138="Preenche os requisitos",P138="Preenche os requisitos"),"Preenche os requisitos","Não preenche os requisitos")</f>
        <v>Não preenche os requisitos</v>
      </c>
      <c r="G148" s="38" t="str">
        <f>IF(F148="Preenche os requisitos",IF(P6=0,IF(I20=2,IF(P13&gt;P16,P13*(1/5),P16*(1/5)),IF(P13&gt;P16,P13*(1/5),P16*(1/5))),IF(I20=2,IF(P14&gt;P17,P14*(1/5),P17*(1/5)),IF(P14&gt;P17,P14*(1/5),P17*(1/5)))),"SEM COMUTAÇÃO")</f>
        <v>SEM COMUTAÇÃO</v>
      </c>
      <c r="H148" s="53" t="str">
        <f>IFERROR(""&amp;ROUNDDOWN(I148,0)&amp;" anos "&amp;ROUNDDOWN(J148,0)&amp;" meses "&amp;ROUND(K148,0)&amp;" dias","Sem Comutação")</f>
        <v>Sem Comutação</v>
      </c>
      <c r="I148" s="54" t="str">
        <f>IFERROR(G148/360,"-")</f>
        <v>-</v>
      </c>
      <c r="J148" s="54" t="str">
        <f>IFERROR((((G148/360)-ROUNDDOWN((G148/360),0))*12),"-")</f>
        <v>-</v>
      </c>
      <c r="K148" s="54" t="str">
        <f>IFERROR(((((G148/360)-ROUNDDOWN((G148/360),0))*12)-ROUNDDOWN((((G148/360)-ROUNDDOWN((G148/360),0))*12),0))*30,"-")</f>
        <v>-</v>
      </c>
      <c r="L148" s="208" t="e">
        <f>P9-G148</f>
        <v>#VALUE!</v>
      </c>
      <c r="M148" s="53" t="str">
        <f t="shared" si="54"/>
        <v>Sem Comutação</v>
      </c>
      <c r="N148" s="54" t="str">
        <f>IFERROR(L148/360,"-")</f>
        <v>-</v>
      </c>
      <c r="O148" s="54" t="str">
        <f>IFERROR((((L148/360)-ROUNDDOWN((L148/360),0))*12),"-")</f>
        <v>-</v>
      </c>
      <c r="P148" s="54" t="str">
        <f>IFERROR(((((L148/360)-ROUNDDOWN((L148/360),0))*12)-ROUNDDOWN((((L148/360)-ROUNDDOWN((L148/360),0))*12),0))*30,"-")</f>
        <v>-</v>
      </c>
      <c r="T148" s="35"/>
      <c r="U148" s="68"/>
    </row>
    <row r="149" spans="1:21" ht="39.75" customHeight="1">
      <c r="C149" s="235" t="s">
        <v>238</v>
      </c>
      <c r="F149" s="39" t="str">
        <f>IF(OR(O141="Preenche os requisitos",P141="Preenche os requisitos"),"Preenche os requisitos","Não preenche os requisitos")</f>
        <v>Não preenche os requisitos</v>
      </c>
      <c r="G149" s="38" t="str">
        <f>IF(F148="Preenche os requisitos",IF(P6=0,IF(I20=2,IF(P13&gt;P16,P13*(2/3),P16*(2/3)),IF(P13&gt;P16,P13*(2/3),P16*(2/3))),IF(I20=2,IF(P14&gt;P17,P14*(2/3),P17*(2/3)),IF(P14&gt;P17,P14*(2/3),P17*(2/3)))),"SEM COMUTAÇÃO")</f>
        <v>SEM COMUTAÇÃO</v>
      </c>
      <c r="H149" s="53" t="str">
        <f>IFERROR(""&amp;ROUNDDOWN(I149,0)&amp;" anos "&amp;ROUNDDOWN(J149,0)&amp;" meses "&amp;ROUND(K149,0)&amp;" dias","Sem Comutação")</f>
        <v>Sem Comutação</v>
      </c>
      <c r="I149" s="54" t="str">
        <f>IFERROR(G149/360,"-")</f>
        <v>-</v>
      </c>
      <c r="J149" s="54" t="str">
        <f>IFERROR((((G149/360)-ROUNDDOWN((G149/360),0))*12),"-")</f>
        <v>-</v>
      </c>
      <c r="K149" s="54" t="str">
        <f>IFERROR(((((G149/360)-ROUNDDOWN((G149/360),0))*12)-ROUNDDOWN((((G149/360)-ROUNDDOWN((G149/360),0))*12),0))*30,"-")</f>
        <v>-</v>
      </c>
      <c r="L149" s="208" t="e">
        <f>P9-G149</f>
        <v>#VALUE!</v>
      </c>
      <c r="M149" s="53" t="str">
        <f t="shared" si="54"/>
        <v>Sem Comutação</v>
      </c>
      <c r="N149" s="54" t="str">
        <f>IFERROR(L149/360,"-")</f>
        <v>-</v>
      </c>
      <c r="O149" s="54" t="str">
        <f>IFERROR((((L149/360)-ROUNDDOWN((L149/360),0))*12),"-")</f>
        <v>-</v>
      </c>
      <c r="P149" s="54" t="str">
        <f>IFERROR(((((L149/360)-ROUNDDOWN((L149/360),0))*12)-ROUNDDOWN((((L149/360)-ROUNDDOWN((L149/360),0))*12),0))*30,"-")</f>
        <v>-</v>
      </c>
      <c r="T149" s="35"/>
      <c r="U149" s="68"/>
    </row>
    <row r="150" spans="1:21" ht="25.5" customHeight="1">
      <c r="C150" s="68"/>
      <c r="D150" s="70"/>
      <c r="E150" s="69"/>
      <c r="F150" s="69"/>
      <c r="G150" s="69"/>
      <c r="H150" s="70"/>
      <c r="I150" s="69"/>
      <c r="J150" s="69"/>
      <c r="K150" s="69"/>
      <c r="L150" s="69"/>
      <c r="M150" s="70"/>
      <c r="N150" s="69"/>
      <c r="O150" s="71"/>
      <c r="P150" s="72"/>
      <c r="Q150" s="72"/>
      <c r="R150" s="72"/>
      <c r="S150" s="72"/>
      <c r="T150" s="69"/>
    </row>
    <row r="151" spans="1:21" ht="25.5" customHeight="1">
      <c r="D151" s="35"/>
      <c r="H151" s="35"/>
      <c r="M151" s="35"/>
      <c r="O151" s="32"/>
    </row>
    <row r="152" spans="1:21" ht="25.5" customHeight="1">
      <c r="C152" s="23"/>
      <c r="D152" s="40"/>
      <c r="E152" s="40"/>
      <c r="F152" s="40"/>
      <c r="G152" s="35"/>
      <c r="H152" s="35"/>
      <c r="L152" s="35"/>
      <c r="O152" s="32"/>
      <c r="Q152" s="223"/>
      <c r="R152" s="223"/>
      <c r="S152" s="223"/>
    </row>
    <row r="153" spans="1:21" ht="23.25" customHeight="1">
      <c r="A153"/>
      <c r="B153"/>
      <c r="C153" s="19" t="s">
        <v>23</v>
      </c>
      <c r="D153" s="20" t="s">
        <v>8</v>
      </c>
      <c r="E153" s="20" t="s">
        <v>9</v>
      </c>
      <c r="F153" s="20"/>
      <c r="G153" s="15"/>
      <c r="H153" s="15"/>
      <c r="I153"/>
      <c r="J153"/>
      <c r="K153"/>
      <c r="L153" s="15"/>
      <c r="M153"/>
      <c r="N153"/>
      <c r="O153" s="61"/>
      <c r="P153" s="65"/>
      <c r="Q153" s="66"/>
      <c r="R153" s="66"/>
      <c r="S153" s="66"/>
      <c r="T153" s="64"/>
    </row>
    <row r="154" spans="1:21" ht="25.5" customHeight="1">
      <c r="C154" s="22" t="s">
        <v>24</v>
      </c>
      <c r="D154" s="289" t="str">
        <f>""&amp;ROUNDDOWN(H154,0)&amp;" anos "&amp;ROUNDDOWN(I154,0)&amp;" meses "&amp;ROUNDDOWN(J154,0)&amp;" dias"</f>
        <v>0 anos 0 meses 0 dias</v>
      </c>
      <c r="E154" s="290"/>
      <c r="F154" s="291"/>
      <c r="G154" s="51"/>
      <c r="H154" s="48">
        <f>D6/360</f>
        <v>0</v>
      </c>
      <c r="I154" s="48">
        <f>((D6/360)-ROUNDDOWN((D6/360),0))*12</f>
        <v>0</v>
      </c>
      <c r="J154" s="48">
        <f>((((D6/360)-ROUNDDOWN((D6/360),0))*12)-ROUNDDOWN((((D6/360)-ROUNDDOWN((D6/360),0))*12),0))*30</f>
        <v>0</v>
      </c>
      <c r="M154" s="35"/>
      <c r="P154" s="67"/>
    </row>
    <row r="155" spans="1:21" ht="25.5" customHeight="1">
      <c r="C155" s="22" t="s">
        <v>239</v>
      </c>
      <c r="D155" s="289" t="str">
        <f>""&amp;ROUNDDOWN(H155,0)&amp;" anos "&amp;ROUNDDOWN(I155,0)&amp;" meses "&amp;ROUNDDOWN(J155,0)&amp;" dias"</f>
        <v>0 anos 0 meses 0 dias</v>
      </c>
      <c r="E155" s="290"/>
      <c r="F155" s="291"/>
      <c r="G155" s="223">
        <f>G7+G8</f>
        <v>0</v>
      </c>
      <c r="H155" s="48">
        <f>G155/360</f>
        <v>0</v>
      </c>
      <c r="I155" s="48">
        <f>((G155/360)-ROUNDDOWN((G155/360),0))*12</f>
        <v>0</v>
      </c>
      <c r="J155" s="48">
        <f>((((G155/360)-ROUNDDOWN((G155/360),0))*12)-ROUNDDOWN((((G155/360)-ROUNDDOWN((G155/360),0))*12),0))*30</f>
        <v>0</v>
      </c>
      <c r="L155" s="35"/>
      <c r="O155" s="32"/>
      <c r="Q155" s="223"/>
      <c r="R155" s="223"/>
      <c r="S155" s="223"/>
    </row>
    <row r="156" spans="1:21" ht="25.5" customHeight="1">
      <c r="C156" s="22" t="s">
        <v>240</v>
      </c>
      <c r="D156" s="289" t="str">
        <f>""&amp;ROUNDDOWN(H156,0)&amp;" anos "&amp;ROUNDDOWN(I156,0)&amp;" meses "&amp;ROUNDDOWN(J156,0)&amp;" dias"</f>
        <v>0 anos 0 meses 0 dias</v>
      </c>
      <c r="E156" s="290"/>
      <c r="F156" s="291"/>
      <c r="G156" s="223">
        <f>Cálculo!E7+Cálculo!E8</f>
        <v>0</v>
      </c>
      <c r="H156" s="48">
        <f>G156/360</f>
        <v>0</v>
      </c>
      <c r="I156" s="48">
        <f>((G156/360)-ROUNDDOWN((G156/360),0))*12</f>
        <v>0</v>
      </c>
      <c r="J156" s="48">
        <f>((((G156/360)-ROUNDDOWN((G156/360),0))*12)-ROUNDDOWN((((G156/360)-ROUNDDOWN((G156/360),0))*12),0))*30</f>
        <v>0</v>
      </c>
      <c r="L156" s="35"/>
      <c r="O156" s="32"/>
      <c r="Q156" s="223"/>
      <c r="R156" s="223"/>
      <c r="S156" s="223"/>
    </row>
    <row r="157" spans="1:21" ht="25.5" customHeight="1">
      <c r="C157" s="22" t="s">
        <v>241</v>
      </c>
      <c r="D157" s="289" t="str">
        <f>""&amp;ROUNDDOWN(H157,0)&amp;" anos "&amp;ROUNDDOWN(I157,0)&amp;" meses "&amp;ROUNDDOWN(J157,0)&amp;" dias"</f>
        <v>0 anos 0 meses 0 dias</v>
      </c>
      <c r="E157" s="290"/>
      <c r="F157" s="291"/>
      <c r="G157" s="223">
        <f>Cálculo!F7+Cálculo!F8</f>
        <v>0</v>
      </c>
      <c r="H157" s="48">
        <f>G157/360</f>
        <v>0</v>
      </c>
      <c r="I157" s="48">
        <f>((G157/360)-ROUNDDOWN((G157/360),0))*12</f>
        <v>0</v>
      </c>
      <c r="J157" s="48">
        <f>((((G157/360)-ROUNDDOWN((G157/360),0))*12)-ROUNDDOWN((((G157/360)-ROUNDDOWN((G157/360),0))*12),0))*30</f>
        <v>0</v>
      </c>
      <c r="L157" s="35"/>
      <c r="O157" s="32"/>
      <c r="Q157" s="223"/>
      <c r="R157" s="223"/>
      <c r="S157" s="223"/>
    </row>
    <row r="158" spans="1:21" ht="25.5" customHeight="1">
      <c r="C158" s="22" t="s">
        <v>242</v>
      </c>
      <c r="D158" s="289" t="str">
        <f>""&amp;ROUNDDOWN(H158,0)&amp;" anos "&amp;ROUNDDOWN(I158,0)&amp;" meses "&amp;ROUNDDOWN(J158,0)&amp;" dias"</f>
        <v>0 anos 0 meses 0 dias</v>
      </c>
      <c r="E158" s="290"/>
      <c r="F158" s="291"/>
      <c r="G158" s="223">
        <f>Cálculo!H7+Cálculo!H8</f>
        <v>0</v>
      </c>
      <c r="H158" s="48">
        <f>G158/360</f>
        <v>0</v>
      </c>
      <c r="I158" s="48">
        <f>((G158/360)-ROUNDDOWN((G158/360),0))*12</f>
        <v>0</v>
      </c>
      <c r="J158" s="48">
        <f>((((G158/360)-ROUNDDOWN((G158/360),0))*12)-ROUNDDOWN((((G158/360)-ROUNDDOWN((G158/360),0))*12),0))*30</f>
        <v>0</v>
      </c>
      <c r="L158" s="35"/>
      <c r="O158" s="32"/>
      <c r="Q158" s="223"/>
      <c r="R158" s="223"/>
      <c r="S158" s="223"/>
    </row>
    <row r="159" spans="1:21" ht="25.5" customHeight="1">
      <c r="D159" s="35"/>
      <c r="E159" s="35"/>
      <c r="F159" s="35"/>
      <c r="G159" s="35"/>
      <c r="H159" s="35"/>
      <c r="L159" s="35"/>
      <c r="O159" s="32"/>
      <c r="Q159" s="223"/>
      <c r="R159" s="223"/>
      <c r="S159" s="223"/>
    </row>
    <row r="160" spans="1:21" ht="25.5" customHeight="1">
      <c r="D160" s="35"/>
      <c r="E160" s="35"/>
      <c r="F160" s="35"/>
      <c r="G160" s="35"/>
      <c r="H160" s="35"/>
      <c r="L160" s="35"/>
      <c r="O160" s="32"/>
      <c r="Q160" s="223"/>
      <c r="R160" s="223"/>
      <c r="S160" s="223"/>
    </row>
    <row r="161" spans="4:19" ht="25.5" customHeight="1">
      <c r="D161" s="35"/>
      <c r="E161" s="35"/>
      <c r="F161" s="35"/>
      <c r="G161" s="35"/>
      <c r="H161" s="35"/>
      <c r="L161" s="35"/>
      <c r="O161" s="32"/>
      <c r="Q161" s="223"/>
      <c r="R161" s="223"/>
      <c r="S161" s="223"/>
    </row>
    <row r="162" spans="4:19" ht="25.5" customHeight="1">
      <c r="D162" s="35"/>
      <c r="E162" s="35"/>
      <c r="F162" s="35"/>
      <c r="G162" s="35"/>
      <c r="H162" s="35"/>
      <c r="L162" s="35"/>
      <c r="O162" s="32"/>
      <c r="Q162" s="223"/>
      <c r="R162" s="223"/>
      <c r="S162" s="223"/>
    </row>
    <row r="163" spans="4:19" ht="25.5" customHeight="1">
      <c r="D163" s="35"/>
      <c r="E163" s="35"/>
      <c r="F163" s="35"/>
      <c r="G163" s="35"/>
      <c r="H163" s="35"/>
      <c r="L163" s="35"/>
      <c r="O163" s="32"/>
      <c r="Q163" s="223"/>
      <c r="R163" s="223"/>
      <c r="S163" s="223"/>
    </row>
    <row r="164" spans="4:19" ht="25.5" customHeight="1">
      <c r="D164" s="35"/>
      <c r="E164" s="35"/>
      <c r="F164" s="35"/>
      <c r="G164" s="35"/>
      <c r="H164" s="35"/>
      <c r="L164" s="35"/>
      <c r="O164" s="32"/>
      <c r="Q164" s="223"/>
      <c r="R164" s="223"/>
      <c r="S164" s="223"/>
    </row>
    <row r="165" spans="4:19" ht="25.5" customHeight="1">
      <c r="D165" s="35"/>
      <c r="E165" s="35"/>
      <c r="F165" s="35"/>
      <c r="G165" s="35"/>
      <c r="H165" s="35"/>
      <c r="L165" s="35"/>
      <c r="O165" s="32"/>
      <c r="Q165" s="223"/>
      <c r="R165" s="223"/>
      <c r="S165" s="223"/>
    </row>
    <row r="166" spans="4:19" ht="25.5" customHeight="1">
      <c r="D166" s="35"/>
      <c r="E166" s="35"/>
      <c r="F166" s="35"/>
      <c r="G166" s="35"/>
      <c r="H166" s="35"/>
      <c r="L166" s="35"/>
      <c r="O166" s="32"/>
      <c r="Q166" s="223"/>
      <c r="R166" s="223"/>
      <c r="S166" s="223"/>
    </row>
    <row r="167" spans="4:19" ht="25.5" customHeight="1">
      <c r="D167" s="35"/>
      <c r="E167" s="35"/>
      <c r="F167" s="35"/>
      <c r="G167" s="35"/>
      <c r="H167" s="35"/>
      <c r="L167" s="35"/>
      <c r="O167" s="32"/>
      <c r="Q167" s="223"/>
      <c r="R167" s="223"/>
      <c r="S167" s="223"/>
    </row>
    <row r="168" spans="4:19" ht="25.5" customHeight="1">
      <c r="D168" s="35"/>
      <c r="E168" s="35"/>
      <c r="F168" s="35"/>
      <c r="G168" s="35"/>
      <c r="H168" s="35"/>
      <c r="L168" s="35"/>
      <c r="O168" s="32"/>
      <c r="Q168" s="223"/>
      <c r="R168" s="223"/>
      <c r="S168" s="223"/>
    </row>
    <row r="169" spans="4:19" ht="25.5" customHeight="1">
      <c r="D169" s="35"/>
      <c r="E169" s="35"/>
      <c r="F169" s="35"/>
      <c r="G169" s="35"/>
      <c r="H169" s="35"/>
      <c r="L169" s="35"/>
      <c r="O169" s="32"/>
      <c r="Q169" s="223"/>
      <c r="R169" s="223"/>
      <c r="S169" s="223"/>
    </row>
    <row r="170" spans="4:19" ht="25.5" customHeight="1">
      <c r="D170" s="35"/>
      <c r="E170" s="35"/>
      <c r="F170" s="35"/>
      <c r="G170" s="35"/>
      <c r="H170" s="35"/>
      <c r="L170" s="35"/>
      <c r="O170" s="32"/>
      <c r="Q170" s="223"/>
      <c r="R170" s="223"/>
      <c r="S170" s="223"/>
    </row>
    <row r="171" spans="4:19" ht="25.5" customHeight="1">
      <c r="D171" s="35"/>
      <c r="E171" s="35"/>
      <c r="F171" s="35"/>
      <c r="G171" s="35"/>
      <c r="H171" s="35"/>
      <c r="L171" s="35"/>
      <c r="O171" s="32"/>
      <c r="Q171" s="223"/>
      <c r="R171" s="223"/>
      <c r="S171" s="223"/>
    </row>
    <row r="172" spans="4:19" ht="25.5" customHeight="1">
      <c r="D172" s="35"/>
      <c r="E172" s="35"/>
      <c r="F172" s="35"/>
      <c r="G172" s="35"/>
      <c r="H172" s="35"/>
      <c r="L172" s="35"/>
      <c r="O172" s="32"/>
      <c r="Q172" s="223"/>
      <c r="R172" s="223"/>
      <c r="S172" s="223"/>
    </row>
    <row r="173" spans="4:19" ht="25.5" customHeight="1">
      <c r="D173" s="35"/>
      <c r="E173" s="35"/>
      <c r="F173" s="35"/>
      <c r="G173" s="35"/>
      <c r="H173" s="35"/>
      <c r="L173" s="35"/>
      <c r="O173" s="32"/>
      <c r="Q173" s="223"/>
      <c r="R173" s="223"/>
      <c r="S173" s="223"/>
    </row>
    <row r="174" spans="4:19" ht="25.5" customHeight="1">
      <c r="D174" s="35"/>
      <c r="E174" s="35"/>
      <c r="F174" s="35"/>
      <c r="G174" s="35"/>
      <c r="H174" s="35"/>
      <c r="L174" s="35"/>
      <c r="O174" s="32"/>
      <c r="Q174" s="223"/>
      <c r="R174" s="223"/>
      <c r="S174" s="223"/>
    </row>
    <row r="175" spans="4:19" ht="25.5" customHeight="1">
      <c r="D175" s="35"/>
      <c r="E175" s="35"/>
      <c r="F175" s="35"/>
      <c r="G175" s="35"/>
      <c r="H175" s="35"/>
      <c r="L175" s="35"/>
      <c r="O175" s="32"/>
      <c r="Q175" s="223"/>
      <c r="R175" s="223"/>
      <c r="S175" s="223"/>
    </row>
    <row r="176" spans="4:19" ht="25.5" customHeight="1">
      <c r="D176" s="35"/>
      <c r="E176" s="35"/>
      <c r="F176" s="35"/>
      <c r="G176" s="35"/>
      <c r="H176" s="35"/>
      <c r="L176" s="35"/>
      <c r="O176" s="32"/>
      <c r="Q176" s="223"/>
      <c r="R176" s="223"/>
      <c r="S176" s="223"/>
    </row>
    <row r="177" spans="4:19" ht="25.5" customHeight="1">
      <c r="D177" s="35"/>
      <c r="E177" s="35"/>
      <c r="F177" s="35"/>
      <c r="G177" s="35"/>
      <c r="H177" s="35"/>
      <c r="L177" s="35"/>
      <c r="O177" s="32"/>
      <c r="Q177" s="223"/>
      <c r="R177" s="223"/>
      <c r="S177" s="223"/>
    </row>
    <row r="178" spans="4:19" ht="25.5" customHeight="1">
      <c r="D178" s="35"/>
      <c r="E178" s="35"/>
      <c r="F178" s="35"/>
      <c r="G178" s="35"/>
      <c r="H178" s="35"/>
      <c r="L178" s="35"/>
      <c r="O178" s="32"/>
      <c r="Q178" s="223"/>
      <c r="R178" s="223"/>
      <c r="S178" s="223"/>
    </row>
    <row r="179" spans="4:19" ht="25.5" customHeight="1">
      <c r="D179" s="35"/>
      <c r="E179" s="35"/>
      <c r="F179" s="35"/>
      <c r="G179" s="35"/>
      <c r="H179" s="35"/>
      <c r="L179" s="35"/>
      <c r="O179" s="32"/>
      <c r="Q179" s="223"/>
      <c r="R179" s="223"/>
      <c r="S179" s="223"/>
    </row>
    <row r="180" spans="4:19" ht="25.5" customHeight="1">
      <c r="D180" s="35"/>
      <c r="E180" s="35"/>
      <c r="F180" s="35"/>
      <c r="G180" s="35"/>
      <c r="H180" s="35"/>
      <c r="L180" s="35"/>
      <c r="O180" s="32"/>
      <c r="Q180" s="223"/>
      <c r="R180" s="223"/>
      <c r="S180" s="223"/>
    </row>
    <row r="181" spans="4:19" ht="25.5" customHeight="1">
      <c r="D181" s="35"/>
      <c r="E181" s="35"/>
      <c r="F181" s="35"/>
      <c r="G181" s="35"/>
      <c r="H181" s="35"/>
      <c r="L181" s="35"/>
      <c r="O181" s="32"/>
      <c r="Q181" s="223"/>
      <c r="R181" s="223"/>
      <c r="S181" s="223"/>
    </row>
    <row r="182" spans="4:19" ht="25.5" customHeight="1">
      <c r="D182" s="35"/>
      <c r="E182" s="35"/>
      <c r="F182" s="35"/>
      <c r="G182" s="35"/>
      <c r="H182" s="35"/>
      <c r="L182" s="35"/>
      <c r="O182" s="32"/>
      <c r="Q182" s="223"/>
      <c r="R182" s="223"/>
      <c r="S182" s="223"/>
    </row>
    <row r="183" spans="4:19" ht="25.5" customHeight="1">
      <c r="D183" s="35"/>
      <c r="E183" s="35"/>
      <c r="F183" s="35"/>
      <c r="G183" s="35"/>
      <c r="H183" s="35"/>
      <c r="L183" s="35"/>
      <c r="O183" s="32"/>
      <c r="Q183" s="223"/>
      <c r="R183" s="223"/>
      <c r="S183" s="223"/>
    </row>
    <row r="184" spans="4:19" ht="25.5" customHeight="1">
      <c r="D184" s="35"/>
      <c r="E184" s="35"/>
      <c r="F184" s="35"/>
      <c r="G184" s="35"/>
      <c r="H184" s="35"/>
      <c r="L184" s="35"/>
      <c r="O184" s="32"/>
      <c r="Q184" s="223"/>
      <c r="R184" s="223"/>
      <c r="S184" s="223"/>
    </row>
    <row r="185" spans="4:19" ht="25.5" customHeight="1">
      <c r="D185" s="35"/>
      <c r="E185" s="35"/>
      <c r="F185" s="35"/>
      <c r="G185" s="35"/>
      <c r="H185" s="35"/>
      <c r="L185" s="35"/>
      <c r="O185" s="32"/>
      <c r="Q185" s="223"/>
      <c r="R185" s="223"/>
      <c r="S185" s="223"/>
    </row>
    <row r="186" spans="4:19" ht="25.5" customHeight="1">
      <c r="D186" s="35"/>
      <c r="E186" s="35"/>
      <c r="F186" s="35"/>
      <c r="G186" s="35"/>
      <c r="H186" s="35"/>
      <c r="L186" s="35"/>
      <c r="O186" s="32"/>
      <c r="Q186" s="223"/>
      <c r="R186" s="223"/>
      <c r="S186" s="223"/>
    </row>
    <row r="187" spans="4:19" ht="25.5" customHeight="1">
      <c r="D187" s="35"/>
      <c r="E187" s="35"/>
      <c r="F187" s="35"/>
      <c r="G187" s="35"/>
      <c r="H187" s="35"/>
      <c r="L187" s="35"/>
      <c r="O187" s="32"/>
      <c r="Q187" s="223"/>
      <c r="R187" s="223"/>
      <c r="S187" s="223"/>
    </row>
    <row r="188" spans="4:19" ht="25.5" customHeight="1">
      <c r="D188" s="35"/>
      <c r="E188" s="35"/>
      <c r="F188" s="35"/>
      <c r="G188" s="35"/>
      <c r="H188" s="35"/>
      <c r="L188" s="35"/>
      <c r="O188" s="32"/>
      <c r="Q188" s="223"/>
      <c r="R188" s="223"/>
      <c r="S188" s="223"/>
    </row>
    <row r="189" spans="4:19" ht="25.5" customHeight="1">
      <c r="D189" s="35"/>
      <c r="E189" s="35"/>
      <c r="F189" s="35"/>
      <c r="G189" s="35"/>
      <c r="H189" s="35"/>
      <c r="L189" s="35"/>
      <c r="O189" s="32"/>
      <c r="Q189" s="223"/>
      <c r="R189" s="223"/>
      <c r="S189" s="223"/>
    </row>
    <row r="190" spans="4:19" ht="25.5" customHeight="1">
      <c r="D190" s="35"/>
      <c r="E190" s="35"/>
      <c r="F190" s="35"/>
      <c r="G190" s="35"/>
      <c r="H190" s="35"/>
      <c r="L190" s="35"/>
      <c r="O190" s="32"/>
      <c r="Q190" s="223"/>
      <c r="R190" s="223"/>
      <c r="S190" s="223"/>
    </row>
    <row r="191" spans="4:19" ht="25.5" customHeight="1">
      <c r="D191" s="35"/>
      <c r="E191" s="35"/>
      <c r="F191" s="35"/>
      <c r="G191" s="35"/>
      <c r="H191" s="35"/>
      <c r="L191" s="35"/>
      <c r="O191" s="32"/>
      <c r="Q191" s="223"/>
      <c r="R191" s="223"/>
      <c r="S191" s="223"/>
    </row>
    <row r="192" spans="4:19" ht="25.5" customHeight="1">
      <c r="D192" s="35"/>
      <c r="E192" s="35"/>
      <c r="F192" s="35"/>
      <c r="G192" s="35"/>
      <c r="H192" s="35"/>
      <c r="L192" s="35"/>
      <c r="O192" s="32"/>
      <c r="Q192" s="223"/>
      <c r="R192" s="223"/>
      <c r="S192" s="223"/>
    </row>
    <row r="193" spans="4:19" ht="25.5" customHeight="1">
      <c r="D193" s="35"/>
      <c r="E193" s="35"/>
      <c r="F193" s="35"/>
      <c r="G193" s="35"/>
      <c r="H193" s="35"/>
      <c r="L193" s="35"/>
      <c r="O193" s="32"/>
      <c r="Q193" s="223"/>
      <c r="R193" s="223"/>
      <c r="S193" s="223"/>
    </row>
    <row r="194" spans="4:19" ht="25.5" customHeight="1">
      <c r="D194" s="35"/>
      <c r="E194" s="35"/>
      <c r="F194" s="35"/>
      <c r="G194" s="35"/>
      <c r="H194" s="35"/>
      <c r="L194" s="35"/>
      <c r="O194" s="32"/>
      <c r="Q194" s="223"/>
      <c r="R194" s="223"/>
      <c r="S194" s="223"/>
    </row>
    <row r="195" spans="4:19" ht="25.5" customHeight="1">
      <c r="D195" s="35"/>
      <c r="E195" s="35"/>
      <c r="F195" s="35"/>
      <c r="G195" s="35"/>
      <c r="H195" s="35"/>
      <c r="L195" s="35"/>
      <c r="O195" s="32"/>
      <c r="Q195" s="223"/>
      <c r="R195" s="223"/>
      <c r="S195" s="223"/>
    </row>
    <row r="196" spans="4:19" ht="25.5" customHeight="1">
      <c r="D196" s="35"/>
      <c r="E196" s="35"/>
      <c r="F196" s="35"/>
      <c r="G196" s="35"/>
      <c r="H196" s="35"/>
      <c r="L196" s="35"/>
      <c r="O196" s="32"/>
      <c r="Q196" s="223"/>
      <c r="R196" s="223"/>
      <c r="S196" s="223"/>
    </row>
    <row r="197" spans="4:19" ht="25.5" customHeight="1">
      <c r="D197" s="35"/>
      <c r="E197" s="35"/>
      <c r="F197" s="35"/>
      <c r="G197" s="35"/>
      <c r="H197" s="35"/>
      <c r="L197" s="35"/>
      <c r="O197" s="32"/>
      <c r="Q197" s="223"/>
      <c r="R197" s="223"/>
      <c r="S197" s="223"/>
    </row>
    <row r="198" spans="4:19" ht="25.5" customHeight="1">
      <c r="D198" s="35"/>
      <c r="E198" s="35"/>
      <c r="F198" s="35"/>
      <c r="G198" s="35"/>
      <c r="H198" s="35"/>
      <c r="L198" s="35"/>
      <c r="O198" s="32"/>
      <c r="Q198" s="223"/>
      <c r="R198" s="223"/>
      <c r="S198" s="223"/>
    </row>
    <row r="199" spans="4:19" ht="25.5" customHeight="1">
      <c r="D199" s="35"/>
      <c r="E199" s="35"/>
      <c r="F199" s="35"/>
      <c r="G199" s="35"/>
      <c r="H199" s="35"/>
      <c r="L199" s="35"/>
      <c r="O199" s="32"/>
      <c r="Q199" s="223"/>
      <c r="R199" s="223"/>
      <c r="S199" s="223"/>
    </row>
    <row r="200" spans="4:19" ht="25.5" customHeight="1">
      <c r="D200" s="35"/>
      <c r="E200" s="35"/>
      <c r="F200" s="35"/>
      <c r="G200" s="35"/>
      <c r="H200" s="35"/>
      <c r="L200" s="35"/>
      <c r="O200" s="32"/>
      <c r="Q200" s="223"/>
      <c r="R200" s="223"/>
      <c r="S200" s="223"/>
    </row>
    <row r="201" spans="4:19" ht="25.5" customHeight="1">
      <c r="D201" s="35"/>
      <c r="E201" s="35"/>
      <c r="F201" s="35"/>
      <c r="G201" s="35"/>
      <c r="H201" s="35"/>
      <c r="L201" s="35"/>
      <c r="O201" s="32"/>
      <c r="Q201" s="223"/>
      <c r="R201" s="223"/>
      <c r="S201" s="223"/>
    </row>
    <row r="202" spans="4:19" ht="25.5" customHeight="1">
      <c r="D202" s="35"/>
      <c r="E202" s="35"/>
      <c r="F202" s="35"/>
      <c r="G202" s="35"/>
      <c r="H202" s="35"/>
      <c r="L202" s="35"/>
      <c r="O202" s="32"/>
      <c r="Q202" s="223"/>
      <c r="R202" s="223"/>
      <c r="S202" s="223"/>
    </row>
    <row r="203" spans="4:19" ht="25.5" customHeight="1">
      <c r="D203" s="35"/>
      <c r="E203" s="35"/>
      <c r="F203" s="35"/>
      <c r="G203" s="35"/>
      <c r="H203" s="35"/>
      <c r="L203" s="35"/>
      <c r="O203" s="32"/>
      <c r="Q203" s="223"/>
      <c r="R203" s="223"/>
      <c r="S203" s="223"/>
    </row>
    <row r="204" spans="4:19" ht="25.5" customHeight="1">
      <c r="D204" s="35"/>
      <c r="E204" s="35"/>
      <c r="F204" s="35"/>
      <c r="G204" s="35"/>
      <c r="H204" s="35"/>
      <c r="L204" s="35"/>
      <c r="O204" s="32"/>
      <c r="Q204" s="223"/>
      <c r="R204" s="223"/>
      <c r="S204" s="223"/>
    </row>
    <row r="205" spans="4:19" ht="25.5" customHeight="1">
      <c r="D205" s="35"/>
      <c r="E205" s="35"/>
      <c r="F205" s="35"/>
      <c r="G205" s="35"/>
      <c r="H205" s="35"/>
      <c r="L205" s="35"/>
      <c r="O205" s="32"/>
      <c r="Q205" s="223"/>
      <c r="R205" s="223"/>
      <c r="S205" s="223"/>
    </row>
    <row r="206" spans="4:19" ht="25.5" customHeight="1">
      <c r="D206" s="35"/>
      <c r="E206" s="35"/>
      <c r="F206" s="35"/>
      <c r="G206" s="35"/>
      <c r="H206" s="35"/>
      <c r="L206" s="35"/>
      <c r="O206" s="32"/>
      <c r="Q206" s="223"/>
      <c r="R206" s="223"/>
      <c r="S206" s="223"/>
    </row>
    <row r="207" spans="4:19" ht="25.5" customHeight="1">
      <c r="D207" s="35"/>
      <c r="E207" s="35"/>
      <c r="F207" s="35"/>
      <c r="G207" s="35"/>
      <c r="H207" s="35"/>
      <c r="L207" s="35"/>
      <c r="O207" s="32"/>
      <c r="Q207" s="223"/>
      <c r="R207" s="223"/>
      <c r="S207" s="223"/>
    </row>
    <row r="208" spans="4:19" ht="25.5" customHeight="1">
      <c r="D208" s="35"/>
      <c r="E208" s="35"/>
      <c r="F208" s="35"/>
      <c r="G208" s="35"/>
      <c r="H208" s="35"/>
      <c r="L208" s="35"/>
      <c r="O208" s="32"/>
      <c r="Q208" s="223"/>
      <c r="R208" s="223"/>
      <c r="S208" s="223"/>
    </row>
    <row r="209" spans="4:19" ht="25.5" customHeight="1">
      <c r="D209" s="35"/>
      <c r="E209" s="35"/>
      <c r="F209" s="35"/>
      <c r="G209" s="35"/>
      <c r="H209" s="35"/>
      <c r="L209" s="35"/>
      <c r="O209" s="32"/>
      <c r="Q209" s="223"/>
      <c r="R209" s="223"/>
      <c r="S209" s="223"/>
    </row>
    <row r="210" spans="4:19" ht="25.5" customHeight="1">
      <c r="D210" s="35"/>
      <c r="E210" s="35"/>
      <c r="F210" s="35"/>
      <c r="G210" s="35"/>
      <c r="H210" s="35"/>
      <c r="L210" s="35"/>
      <c r="O210" s="32"/>
      <c r="Q210" s="223"/>
      <c r="R210" s="223"/>
      <c r="S210" s="223"/>
    </row>
    <row r="211" spans="4:19" ht="25.5" customHeight="1">
      <c r="D211" s="35"/>
      <c r="E211" s="35"/>
      <c r="F211" s="35"/>
      <c r="G211" s="35"/>
      <c r="H211" s="35"/>
      <c r="L211" s="35"/>
      <c r="O211" s="32"/>
      <c r="Q211" s="223"/>
      <c r="R211" s="223"/>
      <c r="S211" s="223"/>
    </row>
    <row r="212" spans="4:19" ht="25.5" customHeight="1">
      <c r="D212" s="35"/>
      <c r="E212" s="35"/>
      <c r="F212" s="35"/>
      <c r="G212" s="35"/>
      <c r="H212" s="35"/>
      <c r="L212" s="35"/>
      <c r="O212" s="32"/>
      <c r="Q212" s="223"/>
      <c r="R212" s="223"/>
      <c r="S212" s="223"/>
    </row>
    <row r="213" spans="4:19" ht="25.5" customHeight="1">
      <c r="D213" s="35"/>
      <c r="E213" s="35"/>
      <c r="F213" s="35"/>
      <c r="G213" s="35"/>
      <c r="H213" s="35"/>
      <c r="L213" s="35"/>
      <c r="O213" s="32"/>
      <c r="Q213" s="223"/>
      <c r="R213" s="223"/>
      <c r="S213" s="223"/>
    </row>
    <row r="214" spans="4:19" ht="25.5" customHeight="1">
      <c r="D214" s="35"/>
      <c r="E214" s="35"/>
      <c r="F214" s="35"/>
      <c r="G214" s="35"/>
      <c r="H214" s="35"/>
      <c r="L214" s="35"/>
      <c r="O214" s="32"/>
      <c r="Q214" s="223"/>
      <c r="R214" s="223"/>
      <c r="S214" s="223"/>
    </row>
    <row r="215" spans="4:19" ht="25.5" customHeight="1">
      <c r="D215" s="35"/>
      <c r="E215" s="35"/>
      <c r="F215" s="35"/>
      <c r="G215" s="35"/>
      <c r="H215" s="35"/>
      <c r="L215" s="35"/>
      <c r="O215" s="32"/>
      <c r="Q215" s="223"/>
      <c r="R215" s="223"/>
      <c r="S215" s="223"/>
    </row>
    <row r="216" spans="4:19" ht="25.5" customHeight="1">
      <c r="D216" s="35"/>
      <c r="E216" s="35"/>
      <c r="F216" s="35"/>
      <c r="G216" s="35"/>
      <c r="H216" s="35"/>
      <c r="L216" s="35"/>
      <c r="O216" s="32"/>
      <c r="Q216" s="223"/>
      <c r="R216" s="223"/>
      <c r="S216" s="223"/>
    </row>
    <row r="217" spans="4:19" ht="25.5" customHeight="1">
      <c r="D217" s="35"/>
      <c r="E217" s="35"/>
      <c r="F217" s="35"/>
      <c r="G217" s="35"/>
      <c r="H217" s="35"/>
      <c r="L217" s="35"/>
      <c r="O217" s="32"/>
      <c r="Q217" s="223"/>
      <c r="R217" s="223"/>
      <c r="S217" s="223"/>
    </row>
    <row r="218" spans="4:19" ht="25.5" customHeight="1">
      <c r="D218" s="35"/>
      <c r="E218" s="35"/>
      <c r="F218" s="35"/>
      <c r="G218" s="35"/>
      <c r="H218" s="35"/>
      <c r="L218" s="35"/>
      <c r="O218" s="32"/>
      <c r="Q218" s="223"/>
      <c r="R218" s="223"/>
      <c r="S218" s="223"/>
    </row>
    <row r="219" spans="4:19" ht="25.5" customHeight="1">
      <c r="D219" s="35"/>
      <c r="E219" s="35"/>
      <c r="F219" s="35"/>
      <c r="G219" s="35"/>
      <c r="H219" s="35"/>
      <c r="L219" s="35"/>
      <c r="O219" s="32"/>
      <c r="Q219" s="223"/>
      <c r="R219" s="223"/>
      <c r="S219" s="223"/>
    </row>
    <row r="220" spans="4:19" ht="25.5" customHeight="1">
      <c r="D220" s="35"/>
      <c r="E220" s="35"/>
      <c r="F220" s="35"/>
      <c r="G220" s="35"/>
      <c r="H220" s="35"/>
      <c r="L220" s="35"/>
      <c r="O220" s="32"/>
      <c r="Q220" s="223"/>
      <c r="R220" s="223"/>
      <c r="S220" s="223"/>
    </row>
    <row r="221" spans="4:19" ht="25.5" customHeight="1">
      <c r="D221" s="35"/>
      <c r="E221" s="35"/>
      <c r="F221" s="35"/>
      <c r="G221" s="35"/>
      <c r="H221" s="35"/>
      <c r="L221" s="35"/>
      <c r="O221" s="32"/>
      <c r="Q221" s="223"/>
      <c r="R221" s="223"/>
      <c r="S221" s="223"/>
    </row>
    <row r="222" spans="4:19" ht="25.5" customHeight="1">
      <c r="D222" s="35"/>
      <c r="E222" s="35"/>
      <c r="F222" s="35"/>
      <c r="G222" s="35"/>
      <c r="H222" s="35"/>
      <c r="L222" s="35"/>
      <c r="O222" s="32"/>
      <c r="Q222" s="223"/>
      <c r="R222" s="223"/>
      <c r="S222" s="223"/>
    </row>
    <row r="223" spans="4:19" ht="25.5" customHeight="1">
      <c r="D223" s="35"/>
      <c r="E223" s="35"/>
      <c r="F223" s="35"/>
      <c r="G223" s="35"/>
      <c r="H223" s="35"/>
      <c r="L223" s="35"/>
      <c r="O223" s="32"/>
      <c r="Q223" s="223"/>
      <c r="R223" s="223"/>
      <c r="S223" s="223"/>
    </row>
    <row r="224" spans="4:19" ht="25.5" customHeight="1">
      <c r="D224" s="35"/>
      <c r="E224" s="35"/>
      <c r="F224" s="35"/>
      <c r="G224" s="35"/>
      <c r="H224" s="35"/>
      <c r="L224" s="35"/>
      <c r="O224" s="32"/>
      <c r="Q224" s="223"/>
      <c r="R224" s="223"/>
      <c r="S224" s="223"/>
    </row>
    <row r="225" spans="4:19" ht="25.5" customHeight="1">
      <c r="D225" s="35"/>
      <c r="E225" s="35"/>
      <c r="F225" s="35"/>
      <c r="G225" s="35"/>
      <c r="H225" s="35"/>
      <c r="L225" s="35"/>
      <c r="O225" s="32"/>
      <c r="Q225" s="223"/>
      <c r="R225" s="223"/>
      <c r="S225" s="223"/>
    </row>
    <row r="226" spans="4:19" ht="25.5" customHeight="1">
      <c r="D226" s="35"/>
      <c r="E226" s="35"/>
      <c r="F226" s="35"/>
      <c r="G226" s="35"/>
      <c r="H226" s="35"/>
      <c r="L226" s="35"/>
      <c r="O226" s="32"/>
      <c r="Q226" s="223"/>
      <c r="R226" s="223"/>
      <c r="S226" s="223"/>
    </row>
    <row r="227" spans="4:19" ht="25.5" customHeight="1">
      <c r="D227" s="35"/>
      <c r="E227" s="35"/>
      <c r="F227" s="35"/>
      <c r="G227" s="35"/>
      <c r="H227" s="35"/>
      <c r="L227" s="35"/>
      <c r="O227" s="32"/>
      <c r="Q227" s="223"/>
      <c r="R227" s="223"/>
      <c r="S227" s="223"/>
    </row>
    <row r="228" spans="4:19" ht="25.5" customHeight="1">
      <c r="D228" s="35"/>
      <c r="E228" s="35"/>
      <c r="F228" s="35"/>
      <c r="G228" s="35"/>
      <c r="H228" s="35"/>
      <c r="L228" s="35"/>
      <c r="O228" s="32"/>
      <c r="Q228" s="223"/>
      <c r="R228" s="223"/>
      <c r="S228" s="223"/>
    </row>
    <row r="229" spans="4:19" ht="25.5" customHeight="1">
      <c r="D229" s="35"/>
      <c r="E229" s="35"/>
      <c r="F229" s="35"/>
      <c r="G229" s="35"/>
      <c r="H229" s="35"/>
      <c r="L229" s="35"/>
      <c r="O229" s="32"/>
      <c r="Q229" s="223"/>
      <c r="R229" s="223"/>
      <c r="S229" s="223"/>
    </row>
    <row r="230" spans="4:19" ht="25.5" customHeight="1">
      <c r="D230" s="35"/>
      <c r="E230" s="35"/>
      <c r="F230" s="35"/>
      <c r="G230" s="35"/>
      <c r="H230" s="35"/>
      <c r="L230" s="35"/>
      <c r="O230" s="32"/>
      <c r="Q230" s="223"/>
      <c r="R230" s="223"/>
      <c r="S230" s="223"/>
    </row>
    <row r="231" spans="4:19" ht="25.5" customHeight="1">
      <c r="D231" s="35"/>
      <c r="E231" s="35"/>
      <c r="F231" s="35"/>
      <c r="G231" s="35"/>
      <c r="H231" s="35"/>
      <c r="L231" s="35"/>
      <c r="O231" s="32"/>
      <c r="Q231" s="223"/>
      <c r="R231" s="223"/>
      <c r="S231" s="223"/>
    </row>
    <row r="232" spans="4:19" ht="25.5" customHeight="1">
      <c r="D232" s="35"/>
      <c r="E232" s="35"/>
      <c r="F232" s="35"/>
      <c r="G232" s="35"/>
      <c r="H232" s="35"/>
      <c r="L232" s="35"/>
      <c r="O232" s="32"/>
      <c r="Q232" s="223"/>
      <c r="R232" s="223"/>
      <c r="S232" s="223"/>
    </row>
    <row r="233" spans="4:19" ht="25.5" customHeight="1">
      <c r="D233" s="35"/>
      <c r="E233" s="35"/>
      <c r="F233" s="35"/>
      <c r="G233" s="35"/>
      <c r="H233" s="35"/>
      <c r="L233" s="35"/>
      <c r="O233" s="32"/>
      <c r="Q233" s="223"/>
      <c r="R233" s="223"/>
      <c r="S233" s="223"/>
    </row>
    <row r="234" spans="4:19" ht="25.5" customHeight="1">
      <c r="D234" s="35"/>
      <c r="E234" s="35"/>
      <c r="F234" s="35"/>
      <c r="G234" s="35"/>
      <c r="H234" s="35"/>
      <c r="L234" s="35"/>
      <c r="O234" s="32"/>
      <c r="Q234" s="223"/>
      <c r="R234" s="223"/>
      <c r="S234" s="223"/>
    </row>
    <row r="235" spans="4:19" ht="25.5" customHeight="1">
      <c r="D235" s="35"/>
      <c r="E235" s="35"/>
      <c r="F235" s="35"/>
      <c r="G235" s="35"/>
      <c r="H235" s="35"/>
      <c r="L235" s="35"/>
      <c r="O235" s="32"/>
      <c r="Q235" s="223"/>
      <c r="R235" s="223"/>
      <c r="S235" s="223"/>
    </row>
    <row r="236" spans="4:19" ht="25.5" customHeight="1">
      <c r="D236" s="35"/>
      <c r="E236" s="35"/>
      <c r="F236" s="35"/>
      <c r="G236" s="35"/>
      <c r="H236" s="35"/>
      <c r="L236" s="35"/>
      <c r="O236" s="32"/>
      <c r="Q236" s="223"/>
      <c r="R236" s="223"/>
      <c r="S236" s="223"/>
    </row>
    <row r="237" spans="4:19" ht="25.5" customHeight="1">
      <c r="D237" s="35"/>
      <c r="E237" s="35"/>
      <c r="F237" s="35"/>
      <c r="G237" s="35"/>
      <c r="H237" s="35"/>
      <c r="L237" s="35"/>
      <c r="O237" s="32"/>
      <c r="Q237" s="223"/>
      <c r="R237" s="223"/>
      <c r="S237" s="223"/>
    </row>
    <row r="238" spans="4:19" ht="25.5" customHeight="1">
      <c r="D238" s="35"/>
      <c r="E238" s="35"/>
      <c r="F238" s="35"/>
      <c r="G238" s="35"/>
      <c r="H238" s="35"/>
      <c r="L238" s="35"/>
      <c r="O238" s="32"/>
      <c r="Q238" s="223"/>
      <c r="R238" s="223"/>
      <c r="S238" s="223"/>
    </row>
    <row r="239" spans="4:19" ht="25.5" customHeight="1">
      <c r="D239" s="35"/>
      <c r="E239" s="35"/>
      <c r="F239" s="35"/>
      <c r="G239" s="35"/>
      <c r="H239" s="35"/>
      <c r="L239" s="35"/>
      <c r="O239" s="32"/>
      <c r="Q239" s="223"/>
      <c r="R239" s="223"/>
      <c r="S239" s="223"/>
    </row>
    <row r="240" spans="4:19" ht="25.5" customHeight="1">
      <c r="D240" s="35"/>
      <c r="E240" s="35"/>
      <c r="F240" s="35"/>
      <c r="G240" s="35"/>
      <c r="H240" s="35"/>
      <c r="L240" s="35"/>
      <c r="O240" s="32"/>
      <c r="Q240" s="223"/>
      <c r="R240" s="223"/>
      <c r="S240" s="223"/>
    </row>
    <row r="241" spans="4:19" ht="25.5" customHeight="1">
      <c r="D241" s="35"/>
      <c r="E241" s="35"/>
      <c r="F241" s="35"/>
      <c r="G241" s="35"/>
      <c r="H241" s="35"/>
      <c r="L241" s="35"/>
      <c r="O241" s="32"/>
      <c r="Q241" s="223"/>
      <c r="R241" s="223"/>
      <c r="S241" s="223"/>
    </row>
    <row r="242" spans="4:19" ht="25.5" customHeight="1">
      <c r="D242" s="35"/>
      <c r="E242" s="35"/>
      <c r="F242" s="35"/>
      <c r="G242" s="35"/>
      <c r="H242" s="35"/>
      <c r="L242" s="35"/>
      <c r="O242" s="32"/>
      <c r="Q242" s="223"/>
      <c r="R242" s="223"/>
      <c r="S242" s="223"/>
    </row>
    <row r="243" spans="4:19" ht="25.5" customHeight="1">
      <c r="D243" s="35"/>
      <c r="E243" s="35"/>
      <c r="F243" s="35"/>
      <c r="G243" s="35"/>
      <c r="H243" s="35"/>
      <c r="L243" s="35"/>
      <c r="O243" s="32"/>
      <c r="Q243" s="223"/>
      <c r="R243" s="223"/>
      <c r="S243" s="223"/>
    </row>
    <row r="244" spans="4:19" ht="25.5" customHeight="1">
      <c r="D244" s="35"/>
      <c r="E244" s="35"/>
      <c r="F244" s="35"/>
      <c r="G244" s="35"/>
      <c r="H244" s="35"/>
      <c r="L244" s="35"/>
      <c r="O244" s="32"/>
      <c r="Q244" s="223"/>
      <c r="R244" s="223"/>
      <c r="S244" s="223"/>
    </row>
    <row r="245" spans="4:19" ht="25.5" customHeight="1">
      <c r="D245" s="35"/>
      <c r="E245" s="35"/>
      <c r="F245" s="35"/>
      <c r="G245" s="35"/>
      <c r="H245" s="35"/>
      <c r="L245" s="35"/>
      <c r="O245" s="32"/>
      <c r="Q245" s="223"/>
      <c r="R245" s="223"/>
      <c r="S245" s="223"/>
    </row>
    <row r="246" spans="4:19" ht="25.5" customHeight="1">
      <c r="D246" s="35"/>
      <c r="E246" s="35"/>
      <c r="F246" s="35"/>
      <c r="G246" s="35"/>
      <c r="H246" s="35"/>
      <c r="L246" s="35"/>
      <c r="O246" s="32"/>
      <c r="Q246" s="223"/>
      <c r="R246" s="223"/>
      <c r="S246" s="223"/>
    </row>
    <row r="247" spans="4:19" ht="25.5" customHeight="1">
      <c r="D247" s="35"/>
      <c r="E247" s="35"/>
      <c r="F247" s="35"/>
      <c r="G247" s="35"/>
      <c r="H247" s="35"/>
      <c r="L247" s="35"/>
      <c r="O247" s="32"/>
      <c r="Q247" s="223"/>
      <c r="R247" s="223"/>
      <c r="S247" s="223"/>
    </row>
    <row r="248" spans="4:19" ht="25.5" customHeight="1">
      <c r="D248" s="35"/>
      <c r="E248" s="35"/>
      <c r="F248" s="35"/>
      <c r="G248" s="35"/>
      <c r="H248" s="35"/>
      <c r="L248" s="35"/>
      <c r="O248" s="32"/>
      <c r="Q248" s="223"/>
      <c r="R248" s="223"/>
      <c r="S248" s="223"/>
    </row>
    <row r="249" spans="4:19" ht="25.5" customHeight="1">
      <c r="D249" s="35"/>
      <c r="E249" s="35"/>
      <c r="F249" s="35"/>
      <c r="G249" s="35"/>
      <c r="H249" s="35"/>
      <c r="L249" s="35"/>
      <c r="O249" s="32"/>
      <c r="Q249" s="223"/>
      <c r="R249" s="223"/>
      <c r="S249" s="223"/>
    </row>
    <row r="250" spans="4:19" ht="25.5" customHeight="1">
      <c r="D250" s="35"/>
      <c r="E250" s="35"/>
      <c r="F250" s="35"/>
      <c r="G250" s="35"/>
      <c r="H250" s="35"/>
      <c r="L250" s="35"/>
      <c r="O250" s="32"/>
      <c r="Q250" s="223"/>
      <c r="R250" s="223"/>
      <c r="S250" s="223"/>
    </row>
    <row r="251" spans="4:19" ht="25.5" customHeight="1">
      <c r="D251" s="35"/>
      <c r="E251" s="35"/>
      <c r="F251" s="35"/>
      <c r="G251" s="35"/>
      <c r="H251" s="35"/>
      <c r="L251" s="35"/>
      <c r="O251" s="32"/>
      <c r="Q251" s="223"/>
      <c r="R251" s="223"/>
      <c r="S251" s="223"/>
    </row>
    <row r="252" spans="4:19" ht="25.5" customHeight="1">
      <c r="D252" s="35"/>
      <c r="E252" s="35"/>
      <c r="F252" s="35"/>
      <c r="G252" s="35"/>
      <c r="H252" s="35"/>
      <c r="L252" s="35"/>
      <c r="O252" s="32"/>
      <c r="Q252" s="223"/>
      <c r="R252" s="223"/>
      <c r="S252" s="223"/>
    </row>
    <row r="253" spans="4:19" ht="25.5" customHeight="1">
      <c r="D253" s="35"/>
      <c r="E253" s="35"/>
      <c r="F253" s="35"/>
      <c r="G253" s="35"/>
      <c r="H253" s="35"/>
      <c r="L253" s="35"/>
      <c r="O253" s="32"/>
      <c r="Q253" s="223"/>
      <c r="R253" s="223"/>
      <c r="S253" s="223"/>
    </row>
    <row r="254" spans="4:19" ht="25.5" customHeight="1">
      <c r="D254" s="35"/>
      <c r="E254" s="35"/>
      <c r="F254" s="35"/>
      <c r="G254" s="35"/>
      <c r="H254" s="35"/>
      <c r="L254" s="35"/>
      <c r="O254" s="32"/>
      <c r="Q254" s="223"/>
      <c r="R254" s="223"/>
      <c r="S254" s="223"/>
    </row>
    <row r="255" spans="4:19" ht="25.5" customHeight="1">
      <c r="D255" s="35"/>
      <c r="E255" s="35"/>
      <c r="F255" s="35"/>
      <c r="G255" s="35"/>
      <c r="H255" s="35"/>
      <c r="L255" s="35"/>
      <c r="O255" s="32"/>
      <c r="Q255" s="223"/>
      <c r="R255" s="223"/>
      <c r="S255" s="223"/>
    </row>
    <row r="256" spans="4:19" ht="25.5" customHeight="1">
      <c r="D256" s="35"/>
      <c r="E256" s="35"/>
      <c r="F256" s="35"/>
      <c r="G256" s="35"/>
      <c r="H256" s="35"/>
      <c r="L256" s="35"/>
      <c r="O256" s="32"/>
      <c r="Q256" s="223"/>
      <c r="R256" s="223"/>
      <c r="S256" s="223"/>
    </row>
    <row r="257" spans="4:19" ht="25.5" customHeight="1">
      <c r="D257" s="35"/>
      <c r="E257" s="35"/>
      <c r="F257" s="35"/>
      <c r="G257" s="35"/>
      <c r="H257" s="35"/>
      <c r="L257" s="35"/>
      <c r="O257" s="32"/>
      <c r="Q257" s="223"/>
      <c r="R257" s="223"/>
      <c r="S257" s="223"/>
    </row>
    <row r="258" spans="4:19" ht="25.5" customHeight="1">
      <c r="D258" s="35"/>
      <c r="E258" s="35"/>
      <c r="F258" s="35"/>
      <c r="G258" s="35"/>
      <c r="H258" s="35"/>
      <c r="L258" s="35"/>
      <c r="O258" s="32"/>
      <c r="Q258" s="223"/>
      <c r="R258" s="223"/>
      <c r="S258" s="223"/>
    </row>
    <row r="259" spans="4:19" ht="25.5" customHeight="1">
      <c r="D259" s="35"/>
      <c r="E259" s="35"/>
      <c r="F259" s="35"/>
      <c r="G259" s="35"/>
      <c r="H259" s="35"/>
      <c r="L259" s="35"/>
      <c r="O259" s="32"/>
      <c r="Q259" s="223"/>
      <c r="R259" s="223"/>
      <c r="S259" s="223"/>
    </row>
    <row r="260" spans="4:19" ht="25.5" customHeight="1">
      <c r="D260" s="35"/>
      <c r="E260" s="35"/>
      <c r="F260" s="35"/>
      <c r="G260" s="35"/>
      <c r="H260" s="35"/>
      <c r="L260" s="35"/>
      <c r="O260" s="32"/>
      <c r="Q260" s="223"/>
      <c r="R260" s="223"/>
      <c r="S260" s="223"/>
    </row>
    <row r="261" spans="4:19" ht="25.5" customHeight="1">
      <c r="D261" s="35"/>
      <c r="E261" s="35"/>
      <c r="F261" s="35"/>
      <c r="G261" s="35"/>
      <c r="H261" s="35"/>
      <c r="L261" s="35"/>
      <c r="O261" s="32"/>
      <c r="Q261" s="223"/>
      <c r="R261" s="223"/>
      <c r="S261" s="223"/>
    </row>
    <row r="262" spans="4:19" ht="25.5" customHeight="1">
      <c r="D262" s="35"/>
      <c r="E262" s="35"/>
      <c r="F262" s="35"/>
      <c r="G262" s="35"/>
      <c r="H262" s="35"/>
      <c r="L262" s="35"/>
      <c r="O262" s="32"/>
      <c r="Q262" s="223"/>
      <c r="R262" s="223"/>
      <c r="S262" s="223"/>
    </row>
    <row r="263" spans="4:19" ht="25.5" customHeight="1">
      <c r="D263" s="35"/>
      <c r="E263" s="35"/>
      <c r="F263" s="35"/>
      <c r="G263" s="35"/>
      <c r="H263" s="35"/>
      <c r="L263" s="35"/>
      <c r="O263" s="32"/>
      <c r="Q263" s="223"/>
      <c r="R263" s="223"/>
      <c r="S263" s="223"/>
    </row>
    <row r="264" spans="4:19" ht="25.5" customHeight="1">
      <c r="D264" s="35"/>
      <c r="E264" s="35"/>
      <c r="F264" s="35"/>
      <c r="G264" s="35"/>
      <c r="H264" s="35"/>
      <c r="L264" s="35"/>
      <c r="O264" s="32"/>
      <c r="Q264" s="223"/>
      <c r="R264" s="223"/>
      <c r="S264" s="223"/>
    </row>
    <row r="265" spans="4:19" ht="25.5" customHeight="1">
      <c r="D265" s="35"/>
      <c r="E265" s="35"/>
      <c r="F265" s="35"/>
      <c r="G265" s="35"/>
      <c r="H265" s="35"/>
      <c r="L265" s="35"/>
      <c r="O265" s="32"/>
      <c r="Q265" s="223"/>
      <c r="R265" s="223"/>
      <c r="S265" s="223"/>
    </row>
    <row r="266" spans="4:19" ht="25.5" customHeight="1">
      <c r="D266" s="35"/>
      <c r="E266" s="35"/>
      <c r="F266" s="35"/>
      <c r="G266" s="35"/>
      <c r="H266" s="35"/>
      <c r="L266" s="35"/>
      <c r="O266" s="32"/>
      <c r="Q266" s="223"/>
      <c r="R266" s="223"/>
      <c r="S266" s="223"/>
    </row>
    <row r="267" spans="4:19" ht="25.5" customHeight="1">
      <c r="D267" s="35"/>
      <c r="E267" s="35"/>
      <c r="F267" s="35"/>
      <c r="G267" s="35"/>
      <c r="H267" s="35"/>
      <c r="L267" s="35"/>
      <c r="O267" s="32"/>
      <c r="Q267" s="223"/>
      <c r="R267" s="223"/>
      <c r="S267" s="223"/>
    </row>
    <row r="268" spans="4:19" ht="25.5" customHeight="1">
      <c r="D268" s="35"/>
      <c r="E268" s="35"/>
      <c r="F268" s="35"/>
      <c r="G268" s="35"/>
      <c r="H268" s="35"/>
      <c r="L268" s="35"/>
      <c r="O268" s="32"/>
      <c r="Q268" s="223"/>
      <c r="R268" s="223"/>
      <c r="S268" s="223"/>
    </row>
    <row r="269" spans="4:19" ht="25.5" customHeight="1">
      <c r="D269" s="35"/>
      <c r="E269" s="35"/>
      <c r="F269" s="35"/>
      <c r="G269" s="35"/>
      <c r="H269" s="35"/>
      <c r="L269" s="35"/>
      <c r="O269" s="32"/>
      <c r="Q269" s="223"/>
      <c r="R269" s="223"/>
      <c r="S269" s="223"/>
    </row>
    <row r="270" spans="4:19" ht="25.5" customHeight="1">
      <c r="D270" s="35"/>
      <c r="E270" s="35"/>
      <c r="F270" s="35"/>
      <c r="G270" s="35"/>
      <c r="H270" s="35"/>
      <c r="L270" s="35"/>
      <c r="O270" s="32"/>
      <c r="Q270" s="223"/>
      <c r="R270" s="223"/>
      <c r="S270" s="223"/>
    </row>
    <row r="271" spans="4:19" ht="25.5" customHeight="1">
      <c r="D271" s="35"/>
      <c r="E271" s="35"/>
      <c r="F271" s="35"/>
      <c r="G271" s="35"/>
      <c r="H271" s="35"/>
      <c r="L271" s="35"/>
      <c r="O271" s="32"/>
      <c r="Q271" s="223"/>
      <c r="R271" s="223"/>
      <c r="S271" s="223"/>
    </row>
    <row r="272" spans="4:19" ht="25.5" customHeight="1">
      <c r="D272" s="35"/>
      <c r="E272" s="35"/>
      <c r="F272" s="35"/>
      <c r="G272" s="35"/>
      <c r="H272" s="35"/>
      <c r="L272" s="35"/>
      <c r="O272" s="32"/>
      <c r="Q272" s="223"/>
      <c r="R272" s="223"/>
      <c r="S272" s="223"/>
    </row>
    <row r="273" spans="4:19" ht="25.5" customHeight="1">
      <c r="D273" s="35"/>
      <c r="E273" s="35"/>
      <c r="F273" s="35"/>
      <c r="G273" s="35"/>
      <c r="H273" s="35"/>
      <c r="L273" s="35"/>
      <c r="O273" s="32"/>
      <c r="Q273" s="223"/>
      <c r="R273" s="223"/>
      <c r="S273" s="223"/>
    </row>
    <row r="274" spans="4:19" ht="25.5" customHeight="1">
      <c r="D274" s="35"/>
      <c r="E274" s="35"/>
      <c r="F274" s="35"/>
      <c r="G274" s="35"/>
      <c r="H274" s="35"/>
      <c r="L274" s="35"/>
      <c r="O274" s="32"/>
      <c r="Q274" s="223"/>
      <c r="R274" s="223"/>
      <c r="S274" s="223"/>
    </row>
    <row r="275" spans="4:19" ht="25.5" customHeight="1">
      <c r="D275" s="35"/>
      <c r="E275" s="35"/>
      <c r="F275" s="35"/>
      <c r="G275" s="35"/>
      <c r="H275" s="35"/>
      <c r="L275" s="35"/>
      <c r="O275" s="32"/>
      <c r="Q275" s="223"/>
      <c r="R275" s="223"/>
      <c r="S275" s="223"/>
    </row>
    <row r="276" spans="4:19" ht="25.5" customHeight="1">
      <c r="D276" s="35"/>
      <c r="E276" s="35"/>
      <c r="F276" s="35"/>
      <c r="G276" s="35"/>
      <c r="H276" s="35"/>
      <c r="L276" s="35"/>
      <c r="O276" s="32"/>
      <c r="Q276" s="223"/>
      <c r="R276" s="223"/>
      <c r="S276" s="223"/>
    </row>
    <row r="277" spans="4:19" ht="25.5" customHeight="1">
      <c r="D277" s="35"/>
      <c r="E277" s="35"/>
      <c r="F277" s="35"/>
      <c r="G277" s="35"/>
      <c r="H277" s="35"/>
      <c r="L277" s="35"/>
      <c r="O277" s="32"/>
      <c r="Q277" s="223"/>
      <c r="R277" s="223"/>
      <c r="S277" s="223"/>
    </row>
    <row r="278" spans="4:19" ht="25.5" customHeight="1">
      <c r="D278" s="35"/>
      <c r="E278" s="35"/>
      <c r="F278" s="35"/>
      <c r="G278" s="35"/>
      <c r="H278" s="35"/>
      <c r="L278" s="35"/>
      <c r="O278" s="32"/>
      <c r="Q278" s="223"/>
      <c r="R278" s="223"/>
      <c r="S278" s="223"/>
    </row>
    <row r="279" spans="4:19" ht="25.5" customHeight="1">
      <c r="D279" s="35"/>
      <c r="E279" s="35"/>
      <c r="F279" s="35"/>
      <c r="G279" s="35"/>
      <c r="H279" s="35"/>
      <c r="L279" s="35"/>
      <c r="O279" s="32"/>
      <c r="Q279" s="223"/>
      <c r="R279" s="223"/>
      <c r="S279" s="223"/>
    </row>
    <row r="280" spans="4:19" ht="25.5" customHeight="1">
      <c r="D280" s="35"/>
      <c r="E280" s="35"/>
      <c r="F280" s="35"/>
      <c r="G280" s="35"/>
      <c r="H280" s="35"/>
      <c r="L280" s="35"/>
      <c r="O280" s="32"/>
      <c r="Q280" s="223"/>
      <c r="R280" s="223"/>
      <c r="S280" s="223"/>
    </row>
    <row r="281" spans="4:19" ht="25.5" customHeight="1">
      <c r="D281" s="35"/>
      <c r="E281" s="35"/>
      <c r="F281" s="35"/>
      <c r="G281" s="35"/>
      <c r="H281" s="35"/>
      <c r="L281" s="35"/>
      <c r="O281" s="32"/>
      <c r="Q281" s="223"/>
      <c r="R281" s="223"/>
      <c r="S281" s="223"/>
    </row>
    <row r="282" spans="4:19" ht="25.5" customHeight="1">
      <c r="D282" s="35"/>
      <c r="E282" s="35"/>
      <c r="F282" s="35"/>
      <c r="G282" s="35"/>
      <c r="H282" s="35"/>
      <c r="L282" s="35"/>
      <c r="O282" s="32"/>
      <c r="Q282" s="223"/>
      <c r="R282" s="223"/>
      <c r="S282" s="223"/>
    </row>
    <row r="283" spans="4:19" ht="25.5" customHeight="1">
      <c r="D283" s="35"/>
      <c r="E283" s="35"/>
      <c r="F283" s="35"/>
      <c r="G283" s="35"/>
      <c r="H283" s="35"/>
      <c r="L283" s="35"/>
      <c r="O283" s="32"/>
      <c r="Q283" s="223"/>
      <c r="R283" s="223"/>
      <c r="S283" s="223"/>
    </row>
    <row r="284" spans="4:19" ht="25.5" customHeight="1">
      <c r="D284" s="35"/>
      <c r="E284" s="35"/>
      <c r="F284" s="35"/>
      <c r="G284" s="35"/>
      <c r="H284" s="35"/>
      <c r="L284" s="35"/>
      <c r="O284" s="32"/>
      <c r="Q284" s="223"/>
      <c r="R284" s="223"/>
      <c r="S284" s="223"/>
    </row>
    <row r="285" spans="4:19" ht="25.5" customHeight="1">
      <c r="D285" s="35"/>
      <c r="E285" s="35"/>
      <c r="F285" s="35"/>
      <c r="G285" s="35"/>
      <c r="H285" s="35"/>
      <c r="L285" s="35"/>
      <c r="O285" s="32"/>
      <c r="Q285" s="223"/>
      <c r="R285" s="223"/>
      <c r="S285" s="223"/>
    </row>
    <row r="286" spans="4:19" ht="25.5" customHeight="1">
      <c r="D286" s="35"/>
      <c r="E286" s="35"/>
      <c r="F286" s="35"/>
      <c r="G286" s="35"/>
      <c r="H286" s="35"/>
      <c r="L286" s="35"/>
      <c r="O286" s="32"/>
      <c r="Q286" s="223"/>
      <c r="R286" s="223"/>
      <c r="S286" s="223"/>
    </row>
    <row r="287" spans="4:19" ht="25.5" customHeight="1">
      <c r="D287" s="35"/>
      <c r="E287" s="35"/>
      <c r="F287" s="35"/>
      <c r="G287" s="35"/>
      <c r="H287" s="35"/>
      <c r="L287" s="35"/>
      <c r="O287" s="32"/>
      <c r="Q287" s="223"/>
      <c r="R287" s="223"/>
      <c r="S287" s="223"/>
    </row>
    <row r="288" spans="4:19" ht="25.5" customHeight="1">
      <c r="D288" s="35"/>
      <c r="E288" s="35"/>
      <c r="F288" s="35"/>
      <c r="G288" s="35"/>
      <c r="H288" s="35"/>
      <c r="L288" s="35"/>
      <c r="O288" s="32"/>
      <c r="Q288" s="223"/>
      <c r="R288" s="223"/>
      <c r="S288" s="223"/>
    </row>
    <row r="289" spans="4:19" ht="25.5" customHeight="1">
      <c r="D289" s="35"/>
      <c r="E289" s="35"/>
      <c r="F289" s="35"/>
      <c r="G289" s="35"/>
      <c r="H289" s="35"/>
      <c r="L289" s="35"/>
      <c r="O289" s="32"/>
      <c r="Q289" s="223"/>
      <c r="R289" s="223"/>
      <c r="S289" s="223"/>
    </row>
    <row r="290" spans="4:19" ht="25.5" customHeight="1">
      <c r="D290" s="35"/>
      <c r="E290" s="35"/>
      <c r="F290" s="35"/>
      <c r="G290" s="35"/>
      <c r="H290" s="35"/>
      <c r="L290" s="35"/>
      <c r="O290" s="32"/>
      <c r="Q290" s="223"/>
      <c r="R290" s="223"/>
      <c r="S290" s="223"/>
    </row>
    <row r="291" spans="4:19" ht="25.5" customHeight="1">
      <c r="D291" s="35"/>
      <c r="E291" s="35"/>
      <c r="F291" s="35"/>
      <c r="G291" s="35"/>
      <c r="H291" s="35"/>
      <c r="L291" s="35"/>
      <c r="O291" s="32"/>
      <c r="Q291" s="223"/>
      <c r="R291" s="223"/>
      <c r="S291" s="223"/>
    </row>
    <row r="292" spans="4:19" ht="25.5" customHeight="1">
      <c r="D292" s="35"/>
      <c r="E292" s="35"/>
      <c r="F292" s="35"/>
      <c r="G292" s="35"/>
      <c r="H292" s="35"/>
      <c r="L292" s="35"/>
      <c r="O292" s="32"/>
      <c r="Q292" s="223"/>
      <c r="R292" s="223"/>
      <c r="S292" s="223"/>
    </row>
    <row r="293" spans="4:19" ht="25.5" customHeight="1">
      <c r="D293" s="35"/>
      <c r="E293" s="35"/>
      <c r="F293" s="35"/>
      <c r="G293" s="35"/>
      <c r="H293" s="35"/>
      <c r="L293" s="35"/>
      <c r="O293" s="32"/>
      <c r="Q293" s="223"/>
      <c r="R293" s="223"/>
      <c r="S293" s="223"/>
    </row>
    <row r="294" spans="4:19" ht="25.5" customHeight="1">
      <c r="D294" s="35"/>
      <c r="E294" s="35"/>
      <c r="F294" s="35"/>
      <c r="G294" s="35"/>
      <c r="H294" s="35"/>
      <c r="L294" s="35"/>
      <c r="O294" s="32"/>
      <c r="Q294" s="223"/>
      <c r="R294" s="223"/>
      <c r="S294" s="223"/>
    </row>
    <row r="295" spans="4:19" ht="25.5" customHeight="1">
      <c r="D295" s="35"/>
      <c r="E295" s="35"/>
      <c r="F295" s="35"/>
      <c r="G295" s="35"/>
      <c r="H295" s="35"/>
      <c r="L295" s="35"/>
      <c r="O295" s="32"/>
      <c r="Q295" s="223"/>
      <c r="R295" s="223"/>
      <c r="S295" s="223"/>
    </row>
    <row r="296" spans="4:19" ht="25.5" customHeight="1">
      <c r="D296" s="35"/>
      <c r="E296" s="35"/>
      <c r="F296" s="35"/>
      <c r="G296" s="35"/>
      <c r="H296" s="35"/>
      <c r="L296" s="35"/>
      <c r="O296" s="32"/>
      <c r="Q296" s="223"/>
      <c r="R296" s="223"/>
      <c r="S296" s="223"/>
    </row>
    <row r="297" spans="4:19" ht="25.5" customHeight="1">
      <c r="D297" s="35"/>
      <c r="E297" s="35"/>
      <c r="F297" s="35"/>
      <c r="G297" s="35"/>
      <c r="H297" s="35"/>
      <c r="L297" s="35"/>
      <c r="O297" s="32"/>
      <c r="Q297" s="223"/>
      <c r="R297" s="223"/>
      <c r="S297" s="223"/>
    </row>
    <row r="298" spans="4:19" ht="25.5" customHeight="1">
      <c r="D298" s="35"/>
      <c r="E298" s="35"/>
      <c r="F298" s="35"/>
      <c r="G298" s="35"/>
      <c r="H298" s="35"/>
      <c r="L298" s="35"/>
      <c r="O298" s="32"/>
      <c r="Q298" s="223"/>
      <c r="R298" s="223"/>
      <c r="S298" s="223"/>
    </row>
    <row r="299" spans="4:19" ht="25.5" customHeight="1">
      <c r="D299" s="35"/>
      <c r="E299" s="35"/>
      <c r="F299" s="35"/>
      <c r="G299" s="35"/>
      <c r="H299" s="35"/>
      <c r="L299" s="35"/>
      <c r="O299" s="32"/>
      <c r="Q299" s="223"/>
      <c r="R299" s="223"/>
      <c r="S299" s="223"/>
    </row>
    <row r="300" spans="4:19" ht="25.5" customHeight="1">
      <c r="D300" s="35"/>
      <c r="E300" s="35"/>
      <c r="F300" s="35"/>
      <c r="G300" s="35"/>
      <c r="H300" s="35"/>
      <c r="L300" s="35"/>
      <c r="O300" s="32"/>
      <c r="Q300" s="223"/>
      <c r="R300" s="223"/>
      <c r="S300" s="223"/>
    </row>
    <row r="301" spans="4:19" ht="25.5" customHeight="1">
      <c r="D301" s="35"/>
      <c r="E301" s="35"/>
      <c r="F301" s="35"/>
      <c r="G301" s="35"/>
      <c r="H301" s="35"/>
      <c r="L301" s="35"/>
      <c r="O301" s="32"/>
      <c r="Q301" s="223"/>
      <c r="R301" s="223"/>
      <c r="S301" s="223"/>
    </row>
    <row r="302" spans="4:19" ht="25.5" customHeight="1">
      <c r="D302" s="35"/>
      <c r="E302" s="35"/>
      <c r="F302" s="35"/>
      <c r="G302" s="35"/>
      <c r="H302" s="35"/>
      <c r="L302" s="35"/>
      <c r="O302" s="32"/>
      <c r="Q302" s="223"/>
      <c r="R302" s="223"/>
      <c r="S302" s="223"/>
    </row>
    <row r="303" spans="4:19" ht="25.5" customHeight="1">
      <c r="D303" s="35"/>
      <c r="E303" s="35"/>
      <c r="F303" s="35"/>
      <c r="G303" s="35"/>
      <c r="H303" s="35"/>
      <c r="L303" s="35"/>
      <c r="O303" s="32"/>
      <c r="Q303" s="223"/>
      <c r="R303" s="223"/>
      <c r="S303" s="223"/>
    </row>
    <row r="304" spans="4:19" ht="25.5" customHeight="1">
      <c r="D304" s="35"/>
      <c r="E304" s="35"/>
      <c r="F304" s="35"/>
      <c r="G304" s="35"/>
      <c r="H304" s="35"/>
      <c r="L304" s="35"/>
      <c r="O304" s="32"/>
      <c r="Q304" s="223"/>
      <c r="R304" s="223"/>
      <c r="S304" s="223"/>
    </row>
    <row r="305" spans="4:19" ht="25.5" customHeight="1">
      <c r="D305" s="35"/>
      <c r="E305" s="35"/>
      <c r="F305" s="35"/>
      <c r="G305" s="35"/>
      <c r="H305" s="35"/>
      <c r="L305" s="35"/>
      <c r="O305" s="32"/>
      <c r="Q305" s="223"/>
      <c r="R305" s="223"/>
      <c r="S305" s="223"/>
    </row>
    <row r="306" spans="4:19" ht="25.5" customHeight="1">
      <c r="D306" s="35"/>
      <c r="E306" s="35"/>
      <c r="F306" s="35"/>
      <c r="G306" s="35"/>
      <c r="H306" s="35"/>
      <c r="L306" s="35"/>
      <c r="O306" s="32"/>
      <c r="Q306" s="223"/>
      <c r="R306" s="223"/>
      <c r="S306" s="223"/>
    </row>
    <row r="307" spans="4:19" ht="25.5" customHeight="1">
      <c r="D307" s="35"/>
      <c r="E307" s="35"/>
      <c r="F307" s="35"/>
      <c r="G307" s="35"/>
      <c r="H307" s="35"/>
      <c r="L307" s="35"/>
      <c r="O307" s="32"/>
      <c r="Q307" s="223"/>
      <c r="R307" s="223"/>
      <c r="S307" s="223"/>
    </row>
    <row r="308" spans="4:19" ht="25.5" customHeight="1">
      <c r="D308" s="35"/>
      <c r="E308" s="35"/>
      <c r="F308" s="35"/>
      <c r="G308" s="35"/>
      <c r="H308" s="35"/>
      <c r="L308" s="35"/>
      <c r="O308" s="32"/>
      <c r="Q308" s="223"/>
      <c r="R308" s="223"/>
      <c r="S308" s="223"/>
    </row>
    <row r="309" spans="4:19" ht="25.5" customHeight="1">
      <c r="D309" s="35"/>
      <c r="E309" s="35"/>
      <c r="F309" s="35"/>
      <c r="G309" s="35"/>
      <c r="H309" s="35"/>
      <c r="L309" s="35"/>
      <c r="O309" s="32"/>
      <c r="Q309" s="223"/>
      <c r="R309" s="223"/>
      <c r="S309" s="223"/>
    </row>
    <row r="310" spans="4:19" ht="25.5" customHeight="1">
      <c r="D310" s="35"/>
      <c r="E310" s="35"/>
      <c r="F310" s="35"/>
      <c r="G310" s="35"/>
      <c r="H310" s="35"/>
      <c r="L310" s="35"/>
      <c r="O310" s="32"/>
      <c r="Q310" s="223"/>
      <c r="R310" s="223"/>
      <c r="S310" s="223"/>
    </row>
    <row r="311" spans="4:19" ht="25.5" customHeight="1">
      <c r="D311" s="35"/>
      <c r="E311" s="35"/>
      <c r="F311" s="35"/>
      <c r="G311" s="35"/>
      <c r="H311" s="35"/>
      <c r="L311" s="35"/>
      <c r="O311" s="32"/>
      <c r="Q311" s="223"/>
      <c r="R311" s="223"/>
      <c r="S311" s="223"/>
    </row>
    <row r="312" spans="4:19" ht="25.5" customHeight="1">
      <c r="D312" s="35"/>
      <c r="E312" s="35"/>
      <c r="F312" s="35"/>
      <c r="G312" s="35"/>
      <c r="H312" s="35"/>
      <c r="L312" s="35"/>
      <c r="O312" s="32"/>
      <c r="Q312" s="223"/>
      <c r="R312" s="223"/>
      <c r="S312" s="223"/>
    </row>
    <row r="313" spans="4:19" ht="25.5" customHeight="1">
      <c r="D313" s="35"/>
      <c r="E313" s="35"/>
      <c r="F313" s="35"/>
      <c r="G313" s="35"/>
      <c r="H313" s="35"/>
      <c r="L313" s="35"/>
      <c r="O313" s="32"/>
      <c r="Q313" s="223"/>
      <c r="R313" s="223"/>
      <c r="S313" s="223"/>
    </row>
    <row r="314" spans="4:19" ht="25.5" customHeight="1">
      <c r="D314" s="35"/>
      <c r="E314" s="35"/>
      <c r="F314" s="35"/>
      <c r="G314" s="35"/>
      <c r="H314" s="35"/>
      <c r="L314" s="35"/>
      <c r="O314" s="32"/>
      <c r="Q314" s="223"/>
      <c r="R314" s="223"/>
      <c r="S314" s="223"/>
    </row>
    <row r="315" spans="4:19" ht="25.5" customHeight="1">
      <c r="D315" s="35"/>
      <c r="E315" s="35"/>
      <c r="F315" s="35"/>
      <c r="G315" s="35"/>
      <c r="H315" s="35"/>
      <c r="L315" s="35"/>
      <c r="O315" s="32"/>
      <c r="Q315" s="223"/>
      <c r="R315" s="223"/>
      <c r="S315" s="223"/>
    </row>
    <row r="316" spans="4:19" ht="25.5" customHeight="1">
      <c r="D316" s="35"/>
      <c r="E316" s="35"/>
      <c r="F316" s="35"/>
      <c r="G316" s="35"/>
      <c r="H316" s="35"/>
      <c r="L316" s="35"/>
      <c r="O316" s="32"/>
      <c r="Q316" s="223"/>
      <c r="R316" s="223"/>
      <c r="S316" s="223"/>
    </row>
    <row r="317" spans="4:19" ht="25.5" customHeight="1">
      <c r="D317" s="35"/>
      <c r="E317" s="35"/>
      <c r="F317" s="35"/>
      <c r="G317" s="35"/>
      <c r="H317" s="35"/>
      <c r="L317" s="35"/>
      <c r="O317" s="32"/>
      <c r="Q317" s="223"/>
      <c r="R317" s="223"/>
      <c r="S317" s="223"/>
    </row>
    <row r="318" spans="4:19" ht="25.5" customHeight="1">
      <c r="D318" s="35"/>
      <c r="E318" s="35"/>
      <c r="F318" s="35"/>
      <c r="G318" s="35"/>
      <c r="H318" s="35"/>
      <c r="L318" s="35"/>
      <c r="O318" s="32"/>
      <c r="Q318" s="223"/>
      <c r="R318" s="223"/>
      <c r="S318" s="223"/>
    </row>
    <row r="319" spans="4:19" ht="25.5" customHeight="1">
      <c r="D319" s="35"/>
      <c r="E319" s="35"/>
      <c r="F319" s="35"/>
      <c r="G319" s="35"/>
      <c r="H319" s="35"/>
      <c r="L319" s="35"/>
      <c r="O319" s="32"/>
      <c r="Q319" s="223"/>
      <c r="R319" s="223"/>
      <c r="S319" s="223"/>
    </row>
    <row r="320" spans="4:19" ht="25.5" customHeight="1">
      <c r="D320" s="35"/>
      <c r="E320" s="35"/>
      <c r="F320" s="35"/>
      <c r="G320" s="35"/>
      <c r="H320" s="35"/>
      <c r="L320" s="35"/>
      <c r="O320" s="32"/>
      <c r="Q320" s="223"/>
      <c r="R320" s="223"/>
      <c r="S320" s="223"/>
    </row>
    <row r="321" spans="4:19" ht="25.5" customHeight="1">
      <c r="D321" s="35"/>
      <c r="E321" s="35"/>
      <c r="F321" s="35"/>
      <c r="G321" s="35"/>
      <c r="H321" s="35"/>
      <c r="L321" s="35"/>
      <c r="O321" s="32"/>
      <c r="Q321" s="223"/>
      <c r="R321" s="223"/>
      <c r="S321" s="223"/>
    </row>
    <row r="322" spans="4:19" ht="25.5" customHeight="1">
      <c r="D322" s="35"/>
      <c r="E322" s="35"/>
      <c r="F322" s="35"/>
      <c r="G322" s="35"/>
      <c r="H322" s="35"/>
      <c r="L322" s="35"/>
      <c r="O322" s="32"/>
      <c r="Q322" s="223"/>
      <c r="R322" s="223"/>
      <c r="S322" s="223"/>
    </row>
    <row r="323" spans="4:19" ht="25.5" customHeight="1">
      <c r="D323" s="35"/>
      <c r="E323" s="35"/>
      <c r="F323" s="35"/>
      <c r="G323" s="35"/>
      <c r="H323" s="35"/>
      <c r="L323" s="35"/>
      <c r="O323" s="32"/>
      <c r="Q323" s="223"/>
      <c r="R323" s="223"/>
      <c r="S323" s="223"/>
    </row>
    <row r="324" spans="4:19" ht="25.5" customHeight="1">
      <c r="D324" s="35"/>
      <c r="E324" s="35"/>
      <c r="F324" s="35"/>
      <c r="G324" s="35"/>
      <c r="H324" s="35"/>
      <c r="L324" s="35"/>
      <c r="O324" s="32"/>
      <c r="Q324" s="223"/>
      <c r="R324" s="223"/>
      <c r="S324" s="223"/>
    </row>
    <row r="325" spans="4:19" ht="25.5" customHeight="1">
      <c r="D325" s="35"/>
      <c r="E325" s="35"/>
      <c r="F325" s="35"/>
      <c r="G325" s="35"/>
      <c r="H325" s="35"/>
      <c r="L325" s="35"/>
      <c r="O325" s="32"/>
      <c r="Q325" s="223"/>
      <c r="R325" s="223"/>
      <c r="S325" s="223"/>
    </row>
    <row r="326" spans="4:19" ht="25.5" customHeight="1">
      <c r="D326" s="35"/>
      <c r="E326" s="35"/>
      <c r="F326" s="35"/>
      <c r="G326" s="35"/>
      <c r="H326" s="35"/>
      <c r="L326" s="35"/>
      <c r="O326" s="32"/>
      <c r="Q326" s="223"/>
      <c r="R326" s="223"/>
      <c r="S326" s="223"/>
    </row>
    <row r="327" spans="4:19" ht="25.5" customHeight="1">
      <c r="D327" s="35"/>
      <c r="E327" s="35"/>
      <c r="F327" s="35"/>
      <c r="G327" s="35"/>
      <c r="H327" s="35"/>
      <c r="L327" s="35"/>
      <c r="O327" s="32"/>
      <c r="Q327" s="223"/>
      <c r="R327" s="223"/>
      <c r="S327" s="223"/>
    </row>
    <row r="328" spans="4:19" ht="25.5" customHeight="1">
      <c r="D328" s="35"/>
      <c r="E328" s="35"/>
      <c r="F328" s="35"/>
      <c r="G328" s="35"/>
      <c r="H328" s="35"/>
      <c r="L328" s="35"/>
      <c r="O328" s="32"/>
      <c r="Q328" s="223"/>
      <c r="R328" s="223"/>
      <c r="S328" s="223"/>
    </row>
    <row r="329" spans="4:19" ht="25.5" customHeight="1">
      <c r="D329" s="35"/>
      <c r="E329" s="35"/>
      <c r="F329" s="35"/>
      <c r="G329" s="35"/>
      <c r="H329" s="35"/>
      <c r="L329" s="35"/>
      <c r="O329" s="32"/>
      <c r="Q329" s="223"/>
      <c r="R329" s="223"/>
      <c r="S329" s="223"/>
    </row>
    <row r="330" spans="4:19" ht="25.5" customHeight="1">
      <c r="D330" s="35"/>
      <c r="E330" s="35"/>
      <c r="F330" s="35"/>
      <c r="G330" s="35"/>
      <c r="H330" s="35"/>
      <c r="L330" s="35"/>
      <c r="O330" s="32"/>
      <c r="Q330" s="223"/>
      <c r="R330" s="223"/>
      <c r="S330" s="223"/>
    </row>
    <row r="331" spans="4:19" ht="25.5" customHeight="1">
      <c r="D331" s="35"/>
      <c r="E331" s="35"/>
      <c r="F331" s="35"/>
      <c r="G331" s="35"/>
      <c r="H331" s="35"/>
      <c r="L331" s="35"/>
      <c r="O331" s="32"/>
      <c r="Q331" s="223"/>
      <c r="R331" s="223"/>
      <c r="S331" s="223"/>
    </row>
    <row r="332" spans="4:19" ht="25.5" customHeight="1">
      <c r="D332" s="35"/>
      <c r="E332" s="35"/>
      <c r="F332" s="35"/>
      <c r="G332" s="35"/>
      <c r="H332" s="35"/>
      <c r="L332" s="35"/>
      <c r="O332" s="32"/>
      <c r="Q332" s="223"/>
      <c r="R332" s="223"/>
      <c r="S332" s="223"/>
    </row>
    <row r="333" spans="4:19" ht="25.5" customHeight="1">
      <c r="D333" s="35"/>
      <c r="E333" s="35"/>
      <c r="F333" s="35"/>
      <c r="G333" s="35"/>
      <c r="H333" s="35"/>
      <c r="L333" s="35"/>
      <c r="O333" s="32"/>
      <c r="Q333" s="223"/>
      <c r="R333" s="223"/>
      <c r="S333" s="223"/>
    </row>
    <row r="334" spans="4:19" ht="25.5" customHeight="1">
      <c r="D334" s="35"/>
      <c r="E334" s="35"/>
      <c r="F334" s="35"/>
      <c r="G334" s="35"/>
      <c r="H334" s="35"/>
      <c r="L334" s="35"/>
      <c r="O334" s="32"/>
      <c r="Q334" s="223"/>
      <c r="R334" s="223"/>
      <c r="S334" s="223"/>
    </row>
    <row r="335" spans="4:19" ht="25.5" customHeight="1">
      <c r="D335" s="35"/>
      <c r="E335" s="35"/>
      <c r="F335" s="35"/>
      <c r="G335" s="35"/>
      <c r="H335" s="35"/>
      <c r="L335" s="35"/>
      <c r="O335" s="32"/>
      <c r="Q335" s="223"/>
      <c r="R335" s="223"/>
      <c r="S335" s="223"/>
    </row>
    <row r="336" spans="4:19" ht="25.5" customHeight="1">
      <c r="D336" s="35"/>
      <c r="E336" s="35"/>
      <c r="F336" s="35"/>
      <c r="G336" s="35"/>
      <c r="H336" s="35"/>
      <c r="L336" s="35"/>
      <c r="O336" s="32"/>
      <c r="Q336" s="223"/>
      <c r="R336" s="223"/>
      <c r="S336" s="223"/>
    </row>
    <row r="337" spans="4:19" ht="25.5" customHeight="1">
      <c r="D337" s="35"/>
      <c r="E337" s="35"/>
      <c r="F337" s="35"/>
      <c r="G337" s="35"/>
      <c r="H337" s="35"/>
      <c r="L337" s="35"/>
      <c r="O337" s="32"/>
      <c r="Q337" s="223"/>
      <c r="R337" s="223"/>
      <c r="S337" s="223"/>
    </row>
    <row r="338" spans="4:19" ht="25.5" customHeight="1">
      <c r="D338" s="35"/>
      <c r="E338" s="35"/>
      <c r="F338" s="35"/>
      <c r="G338" s="35"/>
      <c r="H338" s="35"/>
      <c r="L338" s="35"/>
      <c r="O338" s="32"/>
      <c r="Q338" s="223"/>
      <c r="R338" s="223"/>
      <c r="S338" s="223"/>
    </row>
    <row r="339" spans="4:19" ht="25.5" customHeight="1">
      <c r="D339" s="35"/>
      <c r="E339" s="35"/>
      <c r="F339" s="35"/>
      <c r="G339" s="35"/>
      <c r="H339" s="35"/>
      <c r="L339" s="35"/>
      <c r="O339" s="32"/>
      <c r="Q339" s="223"/>
      <c r="R339" s="223"/>
      <c r="S339" s="223"/>
    </row>
    <row r="340" spans="4:19" ht="25.5" customHeight="1">
      <c r="D340" s="35"/>
      <c r="E340" s="35"/>
      <c r="F340" s="35"/>
      <c r="G340" s="35"/>
      <c r="H340" s="35"/>
      <c r="L340" s="35"/>
      <c r="O340" s="32"/>
      <c r="Q340" s="223"/>
      <c r="R340" s="223"/>
      <c r="S340" s="223"/>
    </row>
    <row r="341" spans="4:19" ht="25.5" customHeight="1">
      <c r="D341" s="35"/>
      <c r="E341" s="35"/>
      <c r="F341" s="35"/>
      <c r="G341" s="35"/>
      <c r="H341" s="35"/>
      <c r="L341" s="35"/>
      <c r="O341" s="32"/>
      <c r="Q341" s="223"/>
      <c r="R341" s="223"/>
      <c r="S341" s="223"/>
    </row>
    <row r="342" spans="4:19" ht="25.5" customHeight="1">
      <c r="D342" s="35"/>
      <c r="E342" s="35"/>
      <c r="F342" s="35"/>
      <c r="G342" s="35"/>
      <c r="H342" s="35"/>
      <c r="L342" s="35"/>
      <c r="O342" s="32"/>
      <c r="Q342" s="223"/>
      <c r="R342" s="223"/>
      <c r="S342" s="223"/>
    </row>
    <row r="343" spans="4:19" ht="25.5" customHeight="1">
      <c r="D343" s="35"/>
      <c r="E343" s="35"/>
      <c r="F343" s="35"/>
      <c r="G343" s="35"/>
      <c r="H343" s="35"/>
      <c r="L343" s="35"/>
      <c r="O343" s="32"/>
      <c r="Q343" s="223"/>
      <c r="R343" s="223"/>
      <c r="S343" s="223"/>
    </row>
    <row r="344" spans="4:19" ht="25.5" customHeight="1">
      <c r="D344" s="35"/>
      <c r="E344" s="35"/>
      <c r="F344" s="35"/>
      <c r="G344" s="35"/>
      <c r="H344" s="35"/>
      <c r="L344" s="35"/>
      <c r="O344" s="32"/>
      <c r="Q344" s="223"/>
      <c r="R344" s="223"/>
      <c r="S344" s="223"/>
    </row>
    <row r="345" spans="4:19" ht="25.5" customHeight="1">
      <c r="D345" s="35"/>
      <c r="E345" s="35"/>
      <c r="F345" s="35"/>
      <c r="G345" s="35"/>
      <c r="H345" s="35"/>
      <c r="L345" s="35"/>
      <c r="O345" s="32"/>
      <c r="Q345" s="223"/>
      <c r="R345" s="223"/>
      <c r="S345" s="223"/>
    </row>
    <row r="346" spans="4:19" ht="25.5" customHeight="1">
      <c r="D346" s="35"/>
      <c r="E346" s="35"/>
      <c r="F346" s="35"/>
      <c r="G346" s="35"/>
      <c r="H346" s="35"/>
      <c r="L346" s="35"/>
      <c r="O346" s="32"/>
      <c r="Q346" s="223"/>
      <c r="R346" s="223"/>
      <c r="S346" s="223"/>
    </row>
    <row r="347" spans="4:19" ht="25.5" customHeight="1">
      <c r="D347" s="35"/>
      <c r="E347" s="35"/>
      <c r="F347" s="35"/>
      <c r="G347" s="35"/>
      <c r="H347" s="35"/>
      <c r="L347" s="35"/>
      <c r="O347" s="32"/>
      <c r="Q347" s="223"/>
      <c r="R347" s="223"/>
      <c r="S347" s="223"/>
    </row>
    <row r="348" spans="4:19" ht="25.5" customHeight="1">
      <c r="D348" s="35"/>
      <c r="E348" s="35"/>
      <c r="F348" s="35"/>
      <c r="G348" s="35"/>
      <c r="H348" s="35"/>
      <c r="L348" s="35"/>
      <c r="O348" s="32"/>
      <c r="Q348" s="223"/>
      <c r="R348" s="223"/>
      <c r="S348" s="223"/>
    </row>
    <row r="349" spans="4:19" ht="25.5" customHeight="1">
      <c r="D349" s="35"/>
      <c r="E349" s="35"/>
      <c r="F349" s="35"/>
      <c r="G349" s="35"/>
      <c r="H349" s="35"/>
      <c r="L349" s="35"/>
      <c r="O349" s="32"/>
      <c r="Q349" s="223"/>
      <c r="R349" s="223"/>
      <c r="S349" s="223"/>
    </row>
    <row r="350" spans="4:19" ht="25.5" customHeight="1">
      <c r="D350" s="35"/>
      <c r="E350" s="35"/>
      <c r="F350" s="35"/>
      <c r="G350" s="35"/>
      <c r="H350" s="35"/>
      <c r="L350" s="35"/>
      <c r="O350" s="32"/>
      <c r="Q350" s="223"/>
      <c r="R350" s="223"/>
      <c r="S350" s="223"/>
    </row>
    <row r="351" spans="4:19" ht="25.5" customHeight="1">
      <c r="D351" s="35"/>
      <c r="E351" s="35"/>
      <c r="F351" s="35"/>
      <c r="G351" s="35"/>
      <c r="H351" s="35"/>
      <c r="L351" s="35"/>
      <c r="O351" s="32"/>
      <c r="Q351" s="223"/>
      <c r="R351" s="223"/>
      <c r="S351" s="223"/>
    </row>
    <row r="352" spans="4:19" ht="25.5" customHeight="1">
      <c r="D352" s="35"/>
      <c r="E352" s="35"/>
      <c r="F352" s="35"/>
      <c r="G352" s="35"/>
      <c r="H352" s="35"/>
      <c r="L352" s="35"/>
      <c r="O352" s="32"/>
      <c r="Q352" s="223"/>
      <c r="R352" s="223"/>
      <c r="S352" s="223"/>
    </row>
    <row r="353" spans="4:19" ht="25.5" customHeight="1">
      <c r="D353" s="35"/>
      <c r="E353" s="35"/>
      <c r="F353" s="35"/>
      <c r="G353" s="35"/>
      <c r="H353" s="35"/>
      <c r="L353" s="35"/>
      <c r="O353" s="32"/>
      <c r="Q353" s="223"/>
      <c r="R353" s="223"/>
      <c r="S353" s="223"/>
    </row>
    <row r="354" spans="4:19" ht="25.5" customHeight="1">
      <c r="D354" s="35"/>
      <c r="E354" s="35"/>
      <c r="F354" s="35"/>
      <c r="G354" s="35"/>
      <c r="H354" s="35"/>
      <c r="L354" s="35"/>
      <c r="O354" s="32"/>
      <c r="Q354" s="223"/>
      <c r="R354" s="223"/>
      <c r="S354" s="223"/>
    </row>
    <row r="355" spans="4:19" ht="25.5" customHeight="1">
      <c r="D355" s="35"/>
      <c r="E355" s="35"/>
      <c r="F355" s="35"/>
      <c r="G355" s="35"/>
      <c r="H355" s="35"/>
      <c r="L355" s="35"/>
      <c r="O355" s="32"/>
      <c r="Q355" s="223"/>
      <c r="R355" s="223"/>
      <c r="S355" s="223"/>
    </row>
    <row r="356" spans="4:19" ht="25.5" customHeight="1">
      <c r="D356" s="35"/>
      <c r="E356" s="35"/>
      <c r="F356" s="35"/>
      <c r="G356" s="35"/>
      <c r="H356" s="35"/>
      <c r="L356" s="35"/>
      <c r="O356" s="32"/>
      <c r="Q356" s="223"/>
      <c r="R356" s="223"/>
      <c r="S356" s="223"/>
    </row>
    <row r="357" spans="4:19" ht="25.5" customHeight="1">
      <c r="D357" s="35"/>
      <c r="E357" s="35"/>
      <c r="F357" s="35"/>
      <c r="G357" s="35"/>
      <c r="H357" s="35"/>
      <c r="L357" s="35"/>
      <c r="O357" s="32"/>
      <c r="Q357" s="223"/>
      <c r="R357" s="223"/>
      <c r="S357" s="223"/>
    </row>
    <row r="358" spans="4:19" ht="25.5" customHeight="1">
      <c r="D358" s="35"/>
      <c r="E358" s="35"/>
      <c r="F358" s="35"/>
      <c r="G358" s="35"/>
      <c r="H358" s="35"/>
      <c r="L358" s="35"/>
      <c r="O358" s="32"/>
      <c r="Q358" s="223"/>
      <c r="R358" s="223"/>
      <c r="S358" s="223"/>
    </row>
    <row r="359" spans="4:19" ht="25.5" customHeight="1">
      <c r="D359" s="35"/>
      <c r="E359" s="35"/>
      <c r="F359" s="35"/>
      <c r="G359" s="35"/>
      <c r="H359" s="35"/>
      <c r="L359" s="35"/>
      <c r="O359" s="32"/>
      <c r="Q359" s="223"/>
      <c r="R359" s="223"/>
      <c r="S359" s="223"/>
    </row>
    <row r="360" spans="4:19" ht="25.5" customHeight="1">
      <c r="D360" s="35"/>
      <c r="E360" s="35"/>
      <c r="F360" s="35"/>
      <c r="G360" s="35"/>
      <c r="H360" s="35"/>
      <c r="L360" s="35"/>
      <c r="O360" s="32"/>
      <c r="Q360" s="223"/>
      <c r="R360" s="223"/>
      <c r="S360" s="223"/>
    </row>
    <row r="361" spans="4:19" ht="25.5" customHeight="1">
      <c r="D361" s="35"/>
      <c r="E361" s="35"/>
      <c r="F361" s="35"/>
      <c r="G361" s="35"/>
      <c r="H361" s="35"/>
      <c r="L361" s="35"/>
      <c r="O361" s="32"/>
      <c r="Q361" s="223"/>
      <c r="R361" s="223"/>
      <c r="S361" s="223"/>
    </row>
    <row r="362" spans="4:19" ht="25.5" customHeight="1">
      <c r="D362" s="35"/>
      <c r="E362" s="35"/>
      <c r="F362" s="35"/>
      <c r="G362" s="35"/>
      <c r="H362" s="35"/>
      <c r="L362" s="35"/>
      <c r="O362" s="32"/>
      <c r="Q362" s="223"/>
      <c r="R362" s="223"/>
      <c r="S362" s="223"/>
    </row>
    <row r="363" spans="4:19" ht="25.5" customHeight="1">
      <c r="D363" s="35"/>
      <c r="E363" s="35"/>
      <c r="F363" s="35"/>
      <c r="G363" s="35"/>
      <c r="H363" s="35"/>
      <c r="L363" s="35"/>
      <c r="O363" s="32"/>
      <c r="Q363" s="223"/>
      <c r="R363" s="223"/>
      <c r="S363" s="223"/>
    </row>
    <row r="364" spans="4:19" ht="25.5" customHeight="1">
      <c r="D364" s="35"/>
      <c r="E364" s="35"/>
      <c r="F364" s="35"/>
      <c r="G364" s="35"/>
      <c r="H364" s="35"/>
      <c r="L364" s="35"/>
      <c r="O364" s="32"/>
      <c r="Q364" s="223"/>
      <c r="R364" s="223"/>
      <c r="S364" s="223"/>
    </row>
    <row r="365" spans="4:19" ht="25.5" customHeight="1">
      <c r="D365" s="35"/>
      <c r="E365" s="35"/>
      <c r="F365" s="35"/>
      <c r="G365" s="35"/>
      <c r="H365" s="35"/>
      <c r="L365" s="35"/>
      <c r="O365" s="32"/>
      <c r="Q365" s="223"/>
      <c r="R365" s="223"/>
      <c r="S365" s="223"/>
    </row>
    <row r="366" spans="4:19" ht="25.5" customHeight="1">
      <c r="D366" s="35"/>
      <c r="E366" s="35"/>
      <c r="F366" s="35"/>
      <c r="G366" s="35"/>
      <c r="H366" s="35"/>
      <c r="L366" s="35"/>
      <c r="O366" s="32"/>
      <c r="Q366" s="223"/>
      <c r="R366" s="223"/>
      <c r="S366" s="223"/>
    </row>
    <row r="367" spans="4:19" ht="25.5" customHeight="1">
      <c r="D367" s="35"/>
      <c r="E367" s="35"/>
      <c r="F367" s="35"/>
      <c r="G367" s="35"/>
      <c r="H367" s="35"/>
      <c r="L367" s="35"/>
      <c r="O367" s="32"/>
      <c r="Q367" s="223"/>
      <c r="R367" s="223"/>
      <c r="S367" s="223"/>
    </row>
    <row r="368" spans="4:19" ht="25.5" customHeight="1">
      <c r="D368" s="35"/>
      <c r="E368" s="35"/>
      <c r="F368" s="35"/>
      <c r="G368" s="35"/>
      <c r="H368" s="35"/>
      <c r="L368" s="35"/>
      <c r="O368" s="32"/>
      <c r="Q368" s="223"/>
      <c r="R368" s="223"/>
      <c r="S368" s="223"/>
    </row>
    <row r="369" spans="4:19" ht="25.5" customHeight="1">
      <c r="D369" s="35"/>
      <c r="E369" s="35"/>
      <c r="F369" s="35"/>
      <c r="G369" s="35"/>
      <c r="H369" s="35"/>
      <c r="L369" s="35"/>
      <c r="O369" s="32"/>
      <c r="Q369" s="223"/>
      <c r="R369" s="223"/>
      <c r="S369" s="223"/>
    </row>
    <row r="370" spans="4:19" ht="25.5" customHeight="1">
      <c r="D370" s="35"/>
      <c r="E370" s="35"/>
      <c r="F370" s="35"/>
      <c r="G370" s="35"/>
      <c r="H370" s="35"/>
      <c r="L370" s="35"/>
      <c r="O370" s="32"/>
      <c r="Q370" s="223"/>
      <c r="R370" s="223"/>
      <c r="S370" s="223"/>
    </row>
    <row r="371" spans="4:19" ht="25.5" customHeight="1">
      <c r="D371" s="35"/>
      <c r="E371" s="35"/>
      <c r="F371" s="35"/>
      <c r="G371" s="35"/>
      <c r="H371" s="35"/>
      <c r="L371" s="35"/>
      <c r="O371" s="32"/>
      <c r="Q371" s="223"/>
      <c r="R371" s="223"/>
      <c r="S371" s="223"/>
    </row>
    <row r="372" spans="4:19" ht="25.5" customHeight="1">
      <c r="D372" s="35"/>
      <c r="E372" s="35"/>
      <c r="F372" s="35"/>
      <c r="G372" s="35"/>
      <c r="H372" s="35"/>
      <c r="L372" s="35"/>
      <c r="O372" s="32"/>
      <c r="Q372" s="223"/>
      <c r="R372" s="223"/>
      <c r="S372" s="223"/>
    </row>
    <row r="373" spans="4:19" ht="25.5" customHeight="1">
      <c r="D373" s="35"/>
      <c r="E373" s="35"/>
      <c r="F373" s="35"/>
      <c r="G373" s="35"/>
      <c r="H373" s="35"/>
      <c r="L373" s="35"/>
      <c r="O373" s="32"/>
      <c r="Q373" s="223"/>
      <c r="R373" s="223"/>
      <c r="S373" s="223"/>
    </row>
    <row r="374" spans="4:19" ht="25.5" customHeight="1">
      <c r="D374" s="35"/>
      <c r="E374" s="35"/>
      <c r="F374" s="35"/>
      <c r="G374" s="35"/>
      <c r="H374" s="35"/>
      <c r="L374" s="35"/>
      <c r="O374" s="32"/>
      <c r="Q374" s="223"/>
      <c r="R374" s="223"/>
      <c r="S374" s="223"/>
    </row>
    <row r="375" spans="4:19" ht="25.5" customHeight="1">
      <c r="D375" s="35"/>
      <c r="E375" s="35"/>
      <c r="F375" s="35"/>
      <c r="G375" s="35"/>
      <c r="H375" s="35"/>
      <c r="L375" s="35"/>
      <c r="O375" s="32"/>
      <c r="Q375" s="223"/>
      <c r="R375" s="223"/>
      <c r="S375" s="223"/>
    </row>
    <row r="376" spans="4:19" ht="25.5" customHeight="1">
      <c r="D376" s="35"/>
      <c r="E376" s="35"/>
      <c r="F376" s="35"/>
      <c r="G376" s="35"/>
      <c r="H376" s="35"/>
      <c r="L376" s="35"/>
      <c r="O376" s="32"/>
      <c r="Q376" s="223"/>
      <c r="R376" s="223"/>
      <c r="S376" s="223"/>
    </row>
    <row r="377" spans="4:19" ht="25.5" customHeight="1">
      <c r="D377" s="35"/>
      <c r="E377" s="35"/>
      <c r="F377" s="35"/>
      <c r="G377" s="35"/>
      <c r="H377" s="35"/>
      <c r="L377" s="35"/>
      <c r="O377" s="32"/>
      <c r="Q377" s="223"/>
      <c r="R377" s="223"/>
      <c r="S377" s="223"/>
    </row>
    <row r="378" spans="4:19" ht="25.5" customHeight="1">
      <c r="D378" s="35"/>
      <c r="E378" s="35"/>
      <c r="F378" s="35"/>
      <c r="G378" s="35"/>
      <c r="H378" s="35"/>
      <c r="L378" s="35"/>
      <c r="O378" s="32"/>
      <c r="Q378" s="223"/>
      <c r="R378" s="223"/>
      <c r="S378" s="223"/>
    </row>
    <row r="379" spans="4:19" ht="25.5" customHeight="1">
      <c r="D379" s="35"/>
      <c r="E379" s="35"/>
      <c r="F379" s="35"/>
      <c r="G379" s="35"/>
      <c r="H379" s="35"/>
      <c r="L379" s="35"/>
      <c r="O379" s="32"/>
      <c r="Q379" s="223"/>
      <c r="R379" s="223"/>
      <c r="S379" s="223"/>
    </row>
    <row r="380" spans="4:19" ht="25.5" customHeight="1">
      <c r="D380" s="35"/>
      <c r="E380" s="35"/>
      <c r="F380" s="35"/>
      <c r="G380" s="35"/>
      <c r="H380" s="35"/>
      <c r="L380" s="35"/>
      <c r="O380" s="32"/>
      <c r="Q380" s="223"/>
      <c r="R380" s="223"/>
      <c r="S380" s="223"/>
    </row>
    <row r="381" spans="4:19" ht="25.5" customHeight="1">
      <c r="D381" s="35"/>
      <c r="E381" s="35"/>
      <c r="F381" s="35"/>
      <c r="G381" s="35"/>
      <c r="H381" s="35"/>
      <c r="L381" s="35"/>
      <c r="O381" s="32"/>
      <c r="Q381" s="223"/>
      <c r="R381" s="223"/>
      <c r="S381" s="223"/>
    </row>
    <row r="382" spans="4:19" ht="25.5" customHeight="1">
      <c r="D382" s="35"/>
      <c r="E382" s="35"/>
      <c r="F382" s="35"/>
      <c r="G382" s="35"/>
      <c r="H382" s="35"/>
      <c r="L382" s="35"/>
      <c r="O382" s="32"/>
      <c r="Q382" s="223"/>
      <c r="R382" s="223"/>
      <c r="S382" s="223"/>
    </row>
    <row r="383" spans="4:19" ht="25.5" customHeight="1">
      <c r="D383" s="35"/>
      <c r="E383" s="35"/>
      <c r="F383" s="35"/>
      <c r="G383" s="35"/>
      <c r="H383" s="35"/>
      <c r="L383" s="35"/>
      <c r="O383" s="32"/>
      <c r="Q383" s="223"/>
      <c r="R383" s="223"/>
      <c r="S383" s="223"/>
    </row>
    <row r="384" spans="4:19" ht="25.5" customHeight="1">
      <c r="D384" s="35"/>
      <c r="E384" s="35"/>
      <c r="F384" s="35"/>
      <c r="G384" s="35"/>
      <c r="H384" s="35"/>
      <c r="L384" s="35"/>
      <c r="O384" s="32"/>
      <c r="Q384" s="223"/>
      <c r="R384" s="223"/>
      <c r="S384" s="223"/>
    </row>
    <row r="385" spans="4:19" ht="25.5" customHeight="1">
      <c r="D385" s="35"/>
      <c r="E385" s="35"/>
      <c r="F385" s="35"/>
      <c r="G385" s="35"/>
      <c r="H385" s="35"/>
      <c r="L385" s="35"/>
      <c r="O385" s="32"/>
      <c r="Q385" s="223"/>
      <c r="R385" s="223"/>
      <c r="S385" s="223"/>
    </row>
    <row r="386" spans="4:19" ht="25.5" customHeight="1">
      <c r="D386" s="35"/>
      <c r="E386" s="35"/>
      <c r="F386" s="35"/>
      <c r="G386" s="35"/>
      <c r="H386" s="35"/>
      <c r="L386" s="35"/>
      <c r="O386" s="32"/>
      <c r="Q386" s="223"/>
      <c r="R386" s="223"/>
      <c r="S386" s="223"/>
    </row>
    <row r="387" spans="4:19" ht="25.5" customHeight="1">
      <c r="D387" s="35"/>
      <c r="E387" s="35"/>
      <c r="F387" s="35"/>
      <c r="G387" s="35"/>
      <c r="H387" s="35"/>
      <c r="L387" s="35"/>
      <c r="O387" s="32"/>
      <c r="Q387" s="223"/>
      <c r="R387" s="223"/>
      <c r="S387" s="223"/>
    </row>
    <row r="388" spans="4:19" ht="25.5" customHeight="1">
      <c r="D388" s="35"/>
      <c r="E388" s="35"/>
      <c r="F388" s="35"/>
      <c r="G388" s="35"/>
      <c r="H388" s="35"/>
      <c r="L388" s="35"/>
      <c r="O388" s="32"/>
      <c r="Q388" s="223"/>
      <c r="R388" s="223"/>
      <c r="S388" s="223"/>
    </row>
    <row r="389" spans="4:19" ht="25.5" customHeight="1">
      <c r="D389" s="35"/>
      <c r="E389" s="35"/>
      <c r="F389" s="35"/>
      <c r="G389" s="35"/>
      <c r="H389" s="35"/>
      <c r="L389" s="35"/>
      <c r="O389" s="32"/>
      <c r="Q389" s="223"/>
      <c r="R389" s="223"/>
      <c r="S389" s="223"/>
    </row>
    <row r="390" spans="4:19" ht="25.5" customHeight="1">
      <c r="D390" s="35"/>
      <c r="E390" s="35"/>
      <c r="F390" s="35"/>
      <c r="G390" s="35"/>
      <c r="H390" s="35"/>
      <c r="L390" s="35"/>
      <c r="O390" s="32"/>
      <c r="Q390" s="223"/>
      <c r="R390" s="223"/>
      <c r="S390" s="223"/>
    </row>
    <row r="391" spans="4:19" ht="25.5" customHeight="1">
      <c r="D391" s="35"/>
      <c r="E391" s="35"/>
      <c r="F391" s="35"/>
      <c r="G391" s="35"/>
      <c r="H391" s="35"/>
      <c r="L391" s="35"/>
      <c r="O391" s="32"/>
      <c r="Q391" s="223"/>
      <c r="R391" s="223"/>
      <c r="S391" s="223"/>
    </row>
    <row r="392" spans="4:19" ht="25.5" customHeight="1">
      <c r="D392" s="35"/>
      <c r="E392" s="35"/>
      <c r="F392" s="35"/>
      <c r="G392" s="35"/>
      <c r="H392" s="35"/>
      <c r="L392" s="35"/>
      <c r="O392" s="32"/>
      <c r="Q392" s="223"/>
      <c r="R392" s="223"/>
      <c r="S392" s="223"/>
    </row>
    <row r="393" spans="4:19" ht="25.5" customHeight="1">
      <c r="D393" s="35"/>
      <c r="E393" s="35"/>
      <c r="F393" s="35"/>
      <c r="G393" s="35"/>
      <c r="H393" s="35"/>
      <c r="L393" s="35"/>
      <c r="O393" s="32"/>
      <c r="Q393" s="223"/>
      <c r="R393" s="223"/>
      <c r="S393" s="223"/>
    </row>
    <row r="394" spans="4:19" ht="25.5" customHeight="1">
      <c r="D394" s="35"/>
      <c r="E394" s="35"/>
      <c r="F394" s="35"/>
      <c r="G394" s="35"/>
      <c r="H394" s="35"/>
      <c r="L394" s="35"/>
      <c r="O394" s="32"/>
      <c r="Q394" s="223"/>
      <c r="R394" s="223"/>
      <c r="S394" s="223"/>
    </row>
    <row r="395" spans="4:19" ht="25.5" customHeight="1">
      <c r="D395" s="35"/>
      <c r="E395" s="35"/>
      <c r="F395" s="35"/>
      <c r="G395" s="35"/>
      <c r="H395" s="35"/>
      <c r="L395" s="35"/>
      <c r="O395" s="32"/>
      <c r="Q395" s="223"/>
      <c r="R395" s="223"/>
      <c r="S395" s="223"/>
    </row>
    <row r="396" spans="4:19" ht="25.5" customHeight="1">
      <c r="D396" s="35"/>
      <c r="E396" s="35"/>
      <c r="F396" s="35"/>
      <c r="G396" s="35"/>
      <c r="H396" s="35"/>
      <c r="L396" s="35"/>
      <c r="O396" s="32"/>
      <c r="Q396" s="223"/>
      <c r="R396" s="223"/>
      <c r="S396" s="223"/>
    </row>
    <row r="397" spans="4:19" ht="25.5" customHeight="1">
      <c r="D397" s="35"/>
      <c r="E397" s="35"/>
      <c r="F397" s="35"/>
      <c r="G397" s="35"/>
      <c r="H397" s="35"/>
      <c r="L397" s="35"/>
      <c r="O397" s="32"/>
      <c r="Q397" s="223"/>
      <c r="R397" s="223"/>
      <c r="S397" s="223"/>
    </row>
    <row r="398" spans="4:19" ht="25.5" customHeight="1">
      <c r="D398" s="35"/>
      <c r="E398" s="35"/>
      <c r="F398" s="35"/>
      <c r="G398" s="35"/>
      <c r="H398" s="35"/>
      <c r="L398" s="35"/>
      <c r="O398" s="32"/>
      <c r="Q398" s="223"/>
      <c r="R398" s="223"/>
      <c r="S398" s="223"/>
    </row>
    <row r="399" spans="4:19" ht="25.5" customHeight="1">
      <c r="D399" s="35"/>
      <c r="E399" s="35"/>
      <c r="F399" s="35"/>
      <c r="G399" s="35"/>
      <c r="H399" s="35"/>
      <c r="L399" s="35"/>
      <c r="O399" s="32"/>
      <c r="Q399" s="223"/>
      <c r="R399" s="223"/>
      <c r="S399" s="223"/>
    </row>
    <row r="400" spans="4:19" ht="25.5" customHeight="1">
      <c r="D400" s="35"/>
      <c r="E400" s="35"/>
      <c r="F400" s="35"/>
      <c r="G400" s="35"/>
      <c r="H400" s="35"/>
      <c r="L400" s="35"/>
      <c r="O400" s="32"/>
      <c r="Q400" s="223"/>
      <c r="R400" s="223"/>
      <c r="S400" s="223"/>
    </row>
    <row r="401" spans="4:19" ht="25.5" customHeight="1">
      <c r="D401" s="35"/>
      <c r="E401" s="35"/>
      <c r="F401" s="35"/>
      <c r="G401" s="35"/>
      <c r="H401" s="35"/>
      <c r="L401" s="35"/>
      <c r="O401" s="32"/>
      <c r="Q401" s="223"/>
      <c r="R401" s="223"/>
      <c r="S401" s="223"/>
    </row>
    <row r="402" spans="4:19" ht="25.5" customHeight="1">
      <c r="D402" s="35"/>
      <c r="E402" s="35"/>
      <c r="F402" s="35"/>
      <c r="G402" s="35"/>
      <c r="H402" s="35"/>
      <c r="L402" s="35"/>
      <c r="O402" s="32"/>
      <c r="Q402" s="223"/>
      <c r="R402" s="223"/>
      <c r="S402" s="223"/>
    </row>
    <row r="403" spans="4:19" ht="25.5" customHeight="1">
      <c r="D403" s="35"/>
      <c r="E403" s="35"/>
      <c r="F403" s="35"/>
      <c r="G403" s="35"/>
      <c r="H403" s="35"/>
      <c r="L403" s="35"/>
      <c r="O403" s="32"/>
      <c r="Q403" s="223"/>
      <c r="R403" s="223"/>
      <c r="S403" s="223"/>
    </row>
    <row r="404" spans="4:19" ht="25.5" customHeight="1">
      <c r="D404" s="35"/>
      <c r="E404" s="35"/>
      <c r="F404" s="35"/>
      <c r="G404" s="35"/>
      <c r="H404" s="35"/>
      <c r="L404" s="35"/>
      <c r="O404" s="32"/>
      <c r="Q404" s="223"/>
      <c r="R404" s="223"/>
      <c r="S404" s="223"/>
    </row>
    <row r="405" spans="4:19" ht="25.5" customHeight="1">
      <c r="D405" s="35"/>
      <c r="E405" s="35"/>
      <c r="F405" s="35"/>
      <c r="G405" s="35"/>
      <c r="H405" s="35"/>
      <c r="L405" s="35"/>
      <c r="O405" s="32"/>
      <c r="Q405" s="223"/>
      <c r="R405" s="223"/>
      <c r="S405" s="223"/>
    </row>
    <row r="406" spans="4:19" ht="25.5" customHeight="1">
      <c r="D406" s="35"/>
      <c r="E406" s="35"/>
      <c r="F406" s="35"/>
      <c r="G406" s="35"/>
      <c r="H406" s="35"/>
      <c r="L406" s="35"/>
      <c r="O406" s="32"/>
      <c r="Q406" s="223"/>
      <c r="R406" s="223"/>
      <c r="S406" s="223"/>
    </row>
    <row r="407" spans="4:19" ht="25.5" customHeight="1">
      <c r="D407" s="35"/>
      <c r="E407" s="35"/>
      <c r="F407" s="35"/>
      <c r="G407" s="35"/>
      <c r="H407" s="35"/>
      <c r="L407" s="35"/>
      <c r="O407" s="32"/>
      <c r="Q407" s="223"/>
      <c r="R407" s="223"/>
      <c r="S407" s="223"/>
    </row>
    <row r="408" spans="4:19" ht="25.5" customHeight="1">
      <c r="D408" s="35"/>
      <c r="E408" s="35"/>
      <c r="F408" s="35"/>
      <c r="G408" s="35"/>
      <c r="H408" s="35"/>
      <c r="L408" s="35"/>
      <c r="O408" s="32"/>
      <c r="Q408" s="223"/>
      <c r="R408" s="223"/>
      <c r="S408" s="223"/>
    </row>
    <row r="409" spans="4:19" ht="25.5" customHeight="1">
      <c r="D409" s="35"/>
      <c r="E409" s="35"/>
      <c r="F409" s="35"/>
      <c r="G409" s="35"/>
      <c r="H409" s="35"/>
      <c r="L409" s="35"/>
      <c r="O409" s="32"/>
      <c r="Q409" s="223"/>
      <c r="R409" s="223"/>
      <c r="S409" s="223"/>
    </row>
    <row r="410" spans="4:19" ht="25.5" customHeight="1">
      <c r="D410" s="35"/>
      <c r="E410" s="35"/>
      <c r="F410" s="35"/>
      <c r="G410" s="35"/>
      <c r="H410" s="35"/>
      <c r="L410" s="35"/>
      <c r="O410" s="32"/>
      <c r="Q410" s="223"/>
      <c r="R410" s="223"/>
      <c r="S410" s="223"/>
    </row>
    <row r="411" spans="4:19" ht="25.5" customHeight="1">
      <c r="D411" s="35"/>
      <c r="E411" s="35"/>
      <c r="F411" s="35"/>
      <c r="G411" s="35"/>
      <c r="H411" s="35"/>
      <c r="L411" s="35"/>
      <c r="O411" s="32"/>
      <c r="Q411" s="223"/>
      <c r="R411" s="223"/>
      <c r="S411" s="223"/>
    </row>
    <row r="412" spans="4:19" ht="25.5" customHeight="1">
      <c r="D412" s="35"/>
      <c r="E412" s="35"/>
      <c r="F412" s="35"/>
      <c r="G412" s="35"/>
      <c r="H412" s="35"/>
      <c r="L412" s="35"/>
      <c r="O412" s="32"/>
      <c r="Q412" s="223"/>
      <c r="R412" s="223"/>
      <c r="S412" s="223"/>
    </row>
    <row r="413" spans="4:19" ht="25.5" customHeight="1">
      <c r="D413" s="35"/>
      <c r="E413" s="35"/>
      <c r="F413" s="35"/>
      <c r="G413" s="35"/>
      <c r="H413" s="35"/>
      <c r="L413" s="35"/>
      <c r="O413" s="32"/>
      <c r="Q413" s="223"/>
      <c r="R413" s="223"/>
      <c r="S413" s="223"/>
    </row>
    <row r="414" spans="4:19" ht="25.5" customHeight="1">
      <c r="D414" s="35"/>
      <c r="E414" s="35"/>
      <c r="F414" s="35"/>
      <c r="G414" s="35"/>
      <c r="H414" s="35"/>
      <c r="L414" s="35"/>
      <c r="O414" s="32"/>
      <c r="Q414" s="223"/>
      <c r="R414" s="223"/>
      <c r="S414" s="223"/>
    </row>
    <row r="415" spans="4:19" ht="25.5" customHeight="1">
      <c r="D415" s="35"/>
      <c r="E415" s="35"/>
      <c r="F415" s="35"/>
      <c r="G415" s="35"/>
      <c r="H415" s="35"/>
      <c r="L415" s="35"/>
      <c r="O415" s="32"/>
      <c r="Q415" s="223"/>
      <c r="R415" s="223"/>
      <c r="S415" s="223"/>
    </row>
    <row r="416" spans="4:19" ht="25.5" customHeight="1">
      <c r="D416" s="35"/>
      <c r="E416" s="35"/>
      <c r="F416" s="35"/>
      <c r="G416" s="35"/>
      <c r="H416" s="35"/>
      <c r="L416" s="35"/>
      <c r="O416" s="32"/>
      <c r="Q416" s="223"/>
      <c r="R416" s="223"/>
      <c r="S416" s="223"/>
    </row>
    <row r="417" spans="4:19" ht="25.5" customHeight="1">
      <c r="D417" s="35"/>
      <c r="E417" s="35"/>
      <c r="F417" s="35"/>
      <c r="G417" s="35"/>
      <c r="H417" s="35"/>
      <c r="L417" s="35"/>
      <c r="O417" s="32"/>
      <c r="Q417" s="223"/>
      <c r="R417" s="223"/>
      <c r="S417" s="223"/>
    </row>
    <row r="418" spans="4:19" ht="25.5" customHeight="1">
      <c r="D418" s="35"/>
      <c r="E418" s="35"/>
      <c r="F418" s="35"/>
      <c r="G418" s="35"/>
      <c r="H418" s="35"/>
      <c r="L418" s="35"/>
      <c r="O418" s="32"/>
      <c r="Q418" s="223"/>
      <c r="R418" s="223"/>
      <c r="S418" s="223"/>
    </row>
    <row r="419" spans="4:19" ht="25.5" customHeight="1">
      <c r="D419" s="35"/>
      <c r="E419" s="35"/>
      <c r="F419" s="35"/>
      <c r="G419" s="35"/>
      <c r="H419" s="35"/>
      <c r="L419" s="35"/>
      <c r="O419" s="32"/>
      <c r="Q419" s="223"/>
      <c r="R419" s="223"/>
      <c r="S419" s="223"/>
    </row>
    <row r="420" spans="4:19" ht="25.5" customHeight="1">
      <c r="D420" s="35"/>
      <c r="E420" s="35"/>
      <c r="F420" s="35"/>
      <c r="G420" s="35"/>
      <c r="H420" s="35"/>
      <c r="L420" s="35"/>
      <c r="O420" s="32"/>
      <c r="Q420" s="223"/>
      <c r="R420" s="223"/>
      <c r="S420" s="223"/>
    </row>
    <row r="421" spans="4:19" ht="25.5" customHeight="1">
      <c r="D421" s="35"/>
      <c r="E421" s="35"/>
      <c r="F421" s="35"/>
      <c r="G421" s="35"/>
      <c r="H421" s="35"/>
      <c r="L421" s="35"/>
      <c r="O421" s="32"/>
      <c r="Q421" s="223"/>
      <c r="R421" s="223"/>
      <c r="S421" s="223"/>
    </row>
    <row r="422" spans="4:19" ht="25.5" customHeight="1">
      <c r="D422" s="35"/>
      <c r="E422" s="35"/>
      <c r="F422" s="35"/>
      <c r="G422" s="35"/>
      <c r="H422" s="35"/>
      <c r="L422" s="35"/>
      <c r="O422" s="32"/>
      <c r="Q422" s="223"/>
      <c r="R422" s="223"/>
      <c r="S422" s="223"/>
    </row>
    <row r="423" spans="4:19" ht="25.5" customHeight="1">
      <c r="D423" s="35"/>
      <c r="E423" s="35"/>
      <c r="F423" s="35"/>
      <c r="G423" s="35"/>
      <c r="H423" s="35"/>
      <c r="L423" s="35"/>
      <c r="O423" s="32"/>
      <c r="Q423" s="223"/>
      <c r="R423" s="223"/>
      <c r="S423" s="223"/>
    </row>
    <row r="424" spans="4:19" ht="25.5" customHeight="1">
      <c r="D424" s="35"/>
      <c r="E424" s="35"/>
      <c r="F424" s="35"/>
      <c r="G424" s="35"/>
      <c r="H424" s="35"/>
      <c r="L424" s="35"/>
      <c r="O424" s="32"/>
      <c r="Q424" s="223"/>
      <c r="R424" s="223"/>
      <c r="S424" s="223"/>
    </row>
    <row r="425" spans="4:19" ht="25.5" customHeight="1">
      <c r="D425" s="35"/>
      <c r="E425" s="35"/>
      <c r="F425" s="35"/>
      <c r="G425" s="35"/>
      <c r="H425" s="35"/>
      <c r="L425" s="35"/>
      <c r="O425" s="32"/>
      <c r="Q425" s="223"/>
      <c r="R425" s="223"/>
      <c r="S425" s="223"/>
    </row>
    <row r="426" spans="4:19" ht="25.5" customHeight="1">
      <c r="D426" s="35"/>
      <c r="E426" s="35"/>
      <c r="F426" s="35"/>
      <c r="G426" s="35"/>
      <c r="H426" s="35"/>
      <c r="L426" s="35"/>
      <c r="O426" s="32"/>
      <c r="Q426" s="223"/>
      <c r="R426" s="223"/>
      <c r="S426" s="223"/>
    </row>
    <row r="427" spans="4:19" ht="25.5" customHeight="1">
      <c r="D427" s="35"/>
      <c r="E427" s="35"/>
      <c r="F427" s="35"/>
      <c r="G427" s="35"/>
      <c r="H427" s="35"/>
      <c r="L427" s="35"/>
      <c r="O427" s="32"/>
      <c r="Q427" s="223"/>
      <c r="R427" s="223"/>
      <c r="S427" s="223"/>
    </row>
    <row r="428" spans="4:19" ht="25.5" customHeight="1">
      <c r="D428" s="35"/>
      <c r="E428" s="35"/>
      <c r="F428" s="35"/>
      <c r="G428" s="35"/>
      <c r="H428" s="35"/>
      <c r="L428" s="35"/>
      <c r="O428" s="32"/>
      <c r="Q428" s="223"/>
      <c r="R428" s="223"/>
      <c r="S428" s="223"/>
    </row>
    <row r="429" spans="4:19" ht="25.5" customHeight="1">
      <c r="D429" s="35"/>
      <c r="E429" s="35"/>
      <c r="F429" s="35"/>
      <c r="G429" s="35"/>
      <c r="H429" s="35"/>
      <c r="L429" s="35"/>
      <c r="O429" s="32"/>
      <c r="Q429" s="223"/>
      <c r="R429" s="223"/>
      <c r="S429" s="223"/>
    </row>
    <row r="430" spans="4:19" ht="25.5" customHeight="1">
      <c r="D430" s="35"/>
      <c r="E430" s="35"/>
      <c r="F430" s="35"/>
      <c r="G430" s="35"/>
      <c r="H430" s="35"/>
      <c r="L430" s="35"/>
      <c r="O430" s="32"/>
      <c r="Q430" s="223"/>
      <c r="R430" s="223"/>
      <c r="S430" s="223"/>
    </row>
    <row r="431" spans="4:19" ht="25.5" customHeight="1">
      <c r="D431" s="35"/>
      <c r="E431" s="35"/>
      <c r="F431" s="35"/>
      <c r="G431" s="35"/>
      <c r="H431" s="35"/>
      <c r="L431" s="35"/>
      <c r="O431" s="32"/>
      <c r="Q431" s="223"/>
      <c r="R431" s="223"/>
      <c r="S431" s="223"/>
    </row>
    <row r="432" spans="4:19" ht="25.5" customHeight="1">
      <c r="D432" s="35"/>
      <c r="E432" s="35"/>
      <c r="F432" s="35"/>
      <c r="G432" s="35"/>
      <c r="H432" s="35"/>
      <c r="L432" s="35"/>
      <c r="O432" s="32"/>
      <c r="Q432" s="223"/>
      <c r="R432" s="223"/>
      <c r="S432" s="223"/>
    </row>
    <row r="433" spans="4:19" ht="25.5" customHeight="1">
      <c r="D433" s="35"/>
      <c r="E433" s="35"/>
      <c r="F433" s="35"/>
      <c r="G433" s="35"/>
      <c r="H433" s="35"/>
      <c r="L433" s="35"/>
      <c r="O433" s="32"/>
      <c r="Q433" s="223"/>
      <c r="R433" s="223"/>
      <c r="S433" s="223"/>
    </row>
    <row r="434" spans="4:19" ht="25.5" customHeight="1">
      <c r="D434" s="35"/>
      <c r="E434" s="35"/>
      <c r="F434" s="35"/>
      <c r="G434" s="35"/>
      <c r="H434" s="35"/>
      <c r="L434" s="35"/>
      <c r="O434" s="32"/>
      <c r="Q434" s="223"/>
      <c r="R434" s="223"/>
      <c r="S434" s="223"/>
    </row>
    <row r="435" spans="4:19" ht="25.5" customHeight="1">
      <c r="D435" s="35"/>
      <c r="E435" s="35"/>
      <c r="F435" s="35"/>
      <c r="G435" s="35"/>
      <c r="H435" s="35"/>
      <c r="L435" s="35"/>
      <c r="O435" s="32"/>
      <c r="Q435" s="223"/>
      <c r="R435" s="223"/>
      <c r="S435" s="223"/>
    </row>
    <row r="436" spans="4:19" ht="25.5" customHeight="1">
      <c r="D436" s="35"/>
      <c r="E436" s="35"/>
      <c r="F436" s="35"/>
      <c r="G436" s="35"/>
      <c r="H436" s="35"/>
      <c r="L436" s="35"/>
      <c r="O436" s="32"/>
      <c r="Q436" s="223"/>
      <c r="R436" s="223"/>
      <c r="S436" s="223"/>
    </row>
    <row r="437" spans="4:19" ht="25.5" customHeight="1">
      <c r="D437" s="35"/>
      <c r="E437" s="35"/>
      <c r="F437" s="35"/>
      <c r="G437" s="35"/>
      <c r="H437" s="35"/>
      <c r="L437" s="35"/>
      <c r="O437" s="32"/>
      <c r="Q437" s="223"/>
      <c r="R437" s="223"/>
      <c r="S437" s="223"/>
    </row>
    <row r="438" spans="4:19" ht="25.5" customHeight="1">
      <c r="D438" s="35"/>
      <c r="E438" s="35"/>
      <c r="F438" s="35"/>
      <c r="G438" s="35"/>
      <c r="H438" s="35"/>
      <c r="L438" s="35"/>
      <c r="O438" s="32"/>
      <c r="Q438" s="223"/>
      <c r="R438" s="223"/>
      <c r="S438" s="223"/>
    </row>
    <row r="439" spans="4:19" ht="25.5" customHeight="1">
      <c r="D439" s="35"/>
      <c r="E439" s="35"/>
      <c r="F439" s="35"/>
      <c r="G439" s="35"/>
      <c r="H439" s="35"/>
      <c r="L439" s="35"/>
      <c r="O439" s="32"/>
      <c r="Q439" s="223"/>
      <c r="R439" s="223"/>
      <c r="S439" s="223"/>
    </row>
    <row r="440" spans="4:19" ht="25.5" customHeight="1">
      <c r="D440" s="35"/>
      <c r="E440" s="35"/>
      <c r="F440" s="35"/>
      <c r="G440" s="35"/>
      <c r="H440" s="35"/>
      <c r="L440" s="35"/>
      <c r="O440" s="32"/>
      <c r="Q440" s="223"/>
      <c r="R440" s="223"/>
      <c r="S440" s="223"/>
    </row>
    <row r="441" spans="4:19" ht="25.5" customHeight="1">
      <c r="D441" s="35"/>
      <c r="E441" s="35"/>
      <c r="F441" s="35"/>
      <c r="G441" s="35"/>
      <c r="H441" s="35"/>
      <c r="L441" s="35"/>
      <c r="O441" s="32"/>
      <c r="Q441" s="223"/>
      <c r="R441" s="223"/>
      <c r="S441" s="223"/>
    </row>
    <row r="442" spans="4:19" ht="25.5" customHeight="1">
      <c r="D442" s="35"/>
      <c r="E442" s="35"/>
      <c r="F442" s="35"/>
      <c r="G442" s="35"/>
      <c r="H442" s="35"/>
      <c r="L442" s="35"/>
      <c r="O442" s="32"/>
      <c r="Q442" s="223"/>
      <c r="R442" s="223"/>
      <c r="S442" s="223"/>
    </row>
    <row r="443" spans="4:19" ht="25.5" customHeight="1">
      <c r="D443" s="35"/>
      <c r="E443" s="35"/>
      <c r="F443" s="35"/>
      <c r="G443" s="35"/>
      <c r="H443" s="35"/>
      <c r="L443" s="35"/>
      <c r="O443" s="32"/>
      <c r="Q443" s="223"/>
      <c r="R443" s="223"/>
      <c r="S443" s="223"/>
    </row>
    <row r="444" spans="4:19" ht="25.5" customHeight="1">
      <c r="D444" s="35"/>
      <c r="E444" s="35"/>
      <c r="F444" s="35"/>
      <c r="G444" s="35"/>
      <c r="H444" s="35"/>
      <c r="L444" s="35"/>
      <c r="O444" s="32"/>
      <c r="Q444" s="223"/>
      <c r="R444" s="223"/>
      <c r="S444" s="223"/>
    </row>
    <row r="445" spans="4:19" ht="25.5" customHeight="1">
      <c r="D445" s="35"/>
      <c r="E445" s="35"/>
      <c r="F445" s="35"/>
      <c r="G445" s="35"/>
      <c r="H445" s="35"/>
      <c r="L445" s="35"/>
      <c r="O445" s="32"/>
      <c r="Q445" s="223"/>
      <c r="R445" s="223"/>
      <c r="S445" s="223"/>
    </row>
    <row r="446" spans="4:19" ht="25.5" customHeight="1">
      <c r="D446" s="35"/>
      <c r="E446" s="35"/>
      <c r="F446" s="35"/>
      <c r="G446" s="35"/>
      <c r="H446" s="35"/>
      <c r="L446" s="35"/>
      <c r="O446" s="32"/>
      <c r="Q446" s="223"/>
      <c r="R446" s="223"/>
      <c r="S446" s="223"/>
    </row>
    <row r="447" spans="4:19" ht="25.5" customHeight="1">
      <c r="D447" s="35"/>
      <c r="E447" s="35"/>
      <c r="F447" s="35"/>
      <c r="G447" s="35"/>
      <c r="H447" s="35"/>
      <c r="L447" s="35"/>
      <c r="O447" s="32"/>
      <c r="Q447" s="223"/>
      <c r="R447" s="223"/>
      <c r="S447" s="223"/>
    </row>
    <row r="448" spans="4:19" ht="25.5" customHeight="1">
      <c r="D448" s="35"/>
      <c r="E448" s="35"/>
      <c r="F448" s="35"/>
      <c r="G448" s="35"/>
      <c r="H448" s="35"/>
      <c r="L448" s="35"/>
      <c r="O448" s="32"/>
      <c r="Q448" s="223"/>
      <c r="R448" s="223"/>
      <c r="S448" s="223"/>
    </row>
    <row r="449" spans="4:19" ht="25.5" customHeight="1">
      <c r="D449" s="35"/>
      <c r="E449" s="35"/>
      <c r="F449" s="35"/>
      <c r="G449" s="35"/>
      <c r="H449" s="35"/>
      <c r="L449" s="35"/>
      <c r="O449" s="32"/>
      <c r="Q449" s="223"/>
      <c r="R449" s="223"/>
      <c r="S449" s="223"/>
    </row>
    <row r="450" spans="4:19" ht="25.5" customHeight="1">
      <c r="D450" s="35"/>
      <c r="E450" s="35"/>
      <c r="F450" s="35"/>
      <c r="G450" s="35"/>
      <c r="H450" s="35"/>
      <c r="L450" s="35"/>
      <c r="O450" s="32"/>
      <c r="Q450" s="223"/>
      <c r="R450" s="223"/>
      <c r="S450" s="223"/>
    </row>
    <row r="451" spans="4:19" ht="25.5" customHeight="1">
      <c r="D451" s="35"/>
      <c r="E451" s="35"/>
      <c r="F451" s="35"/>
      <c r="G451" s="35"/>
      <c r="H451" s="35"/>
      <c r="L451" s="35"/>
      <c r="O451" s="32"/>
      <c r="Q451" s="223"/>
      <c r="R451" s="223"/>
      <c r="S451" s="223"/>
    </row>
    <row r="452" spans="4:19" ht="25.5" customHeight="1">
      <c r="D452" s="35"/>
      <c r="E452" s="35"/>
      <c r="F452" s="35"/>
      <c r="G452" s="35"/>
      <c r="H452" s="35"/>
      <c r="L452" s="35"/>
      <c r="O452" s="32"/>
      <c r="Q452" s="223"/>
      <c r="R452" s="223"/>
      <c r="S452" s="223"/>
    </row>
    <row r="453" spans="4:19" ht="25.5" customHeight="1">
      <c r="D453" s="35"/>
      <c r="E453" s="35"/>
      <c r="F453" s="35"/>
      <c r="G453" s="35"/>
      <c r="H453" s="35"/>
      <c r="L453" s="35"/>
      <c r="O453" s="32"/>
      <c r="Q453" s="223"/>
      <c r="R453" s="223"/>
      <c r="S453" s="223"/>
    </row>
    <row r="454" spans="4:19" ht="25.5" customHeight="1">
      <c r="D454" s="35"/>
      <c r="E454" s="35"/>
      <c r="F454" s="35"/>
      <c r="G454" s="35"/>
      <c r="H454" s="35"/>
      <c r="L454" s="35"/>
      <c r="O454" s="32"/>
      <c r="Q454" s="223"/>
      <c r="R454" s="223"/>
      <c r="S454" s="223"/>
    </row>
    <row r="455" spans="4:19" ht="25.5" customHeight="1">
      <c r="D455" s="35"/>
      <c r="E455" s="35"/>
      <c r="F455" s="35"/>
      <c r="G455" s="35"/>
      <c r="H455" s="35"/>
      <c r="L455" s="35"/>
      <c r="O455" s="32"/>
      <c r="Q455" s="223"/>
      <c r="R455" s="223"/>
      <c r="S455" s="223"/>
    </row>
    <row r="456" spans="4:19" ht="25.5" customHeight="1">
      <c r="D456" s="35"/>
      <c r="E456" s="35"/>
      <c r="F456" s="35"/>
      <c r="G456" s="35"/>
      <c r="H456" s="35"/>
      <c r="L456" s="35"/>
      <c r="O456" s="32"/>
      <c r="Q456" s="223"/>
      <c r="R456" s="223"/>
      <c r="S456" s="223"/>
    </row>
    <row r="457" spans="4:19" ht="25.5" customHeight="1">
      <c r="D457" s="35"/>
      <c r="E457" s="35"/>
      <c r="F457" s="35"/>
      <c r="G457" s="35"/>
      <c r="H457" s="35"/>
      <c r="L457" s="35"/>
      <c r="O457" s="32"/>
      <c r="Q457" s="223"/>
      <c r="R457" s="223"/>
      <c r="S457" s="223"/>
    </row>
    <row r="458" spans="4:19" ht="25.5" customHeight="1">
      <c r="D458" s="35"/>
      <c r="E458" s="35"/>
      <c r="F458" s="35"/>
      <c r="G458" s="35"/>
      <c r="H458" s="35"/>
      <c r="L458" s="35"/>
      <c r="O458" s="32"/>
      <c r="Q458" s="223"/>
      <c r="R458" s="223"/>
      <c r="S458" s="223"/>
    </row>
    <row r="459" spans="4:19" ht="25.5" customHeight="1">
      <c r="D459" s="35"/>
      <c r="E459" s="35"/>
      <c r="F459" s="35"/>
      <c r="G459" s="35"/>
      <c r="H459" s="35"/>
      <c r="L459" s="35"/>
      <c r="O459" s="32"/>
      <c r="Q459" s="223"/>
      <c r="R459" s="223"/>
      <c r="S459" s="223"/>
    </row>
    <row r="460" spans="4:19" ht="25.5" customHeight="1">
      <c r="D460" s="35"/>
      <c r="E460" s="35"/>
      <c r="F460" s="35"/>
      <c r="G460" s="35"/>
      <c r="H460" s="35"/>
      <c r="L460" s="35"/>
      <c r="O460" s="32"/>
      <c r="Q460" s="223"/>
      <c r="R460" s="223"/>
      <c r="S460" s="223"/>
    </row>
    <row r="461" spans="4:19" ht="25.5" customHeight="1">
      <c r="D461" s="35"/>
      <c r="E461" s="35"/>
      <c r="F461" s="35"/>
      <c r="G461" s="35"/>
      <c r="H461" s="35"/>
      <c r="L461" s="35"/>
      <c r="O461" s="32"/>
      <c r="Q461" s="223"/>
      <c r="R461" s="223"/>
      <c r="S461" s="223"/>
    </row>
    <row r="462" spans="4:19" ht="25.5" customHeight="1">
      <c r="D462" s="35"/>
      <c r="E462" s="35"/>
      <c r="F462" s="35"/>
      <c r="G462" s="35"/>
      <c r="H462" s="35"/>
      <c r="L462" s="35"/>
      <c r="O462" s="32"/>
      <c r="Q462" s="223"/>
      <c r="R462" s="223"/>
      <c r="S462" s="223"/>
    </row>
    <row r="463" spans="4:19" ht="25.5" customHeight="1">
      <c r="D463" s="35"/>
      <c r="E463" s="35"/>
      <c r="F463" s="35"/>
      <c r="G463" s="35"/>
      <c r="H463" s="35"/>
      <c r="L463" s="35"/>
      <c r="O463" s="32"/>
      <c r="Q463" s="223"/>
      <c r="R463" s="223"/>
      <c r="S463" s="223"/>
    </row>
    <row r="464" spans="4:19" ht="25.5" customHeight="1">
      <c r="D464" s="35"/>
      <c r="E464" s="35"/>
      <c r="F464" s="35"/>
      <c r="G464" s="35"/>
      <c r="H464" s="35"/>
      <c r="L464" s="35"/>
      <c r="O464" s="32"/>
      <c r="Q464" s="223"/>
      <c r="R464" s="223"/>
      <c r="S464" s="223"/>
    </row>
    <row r="465" spans="4:19" ht="25.5" customHeight="1">
      <c r="D465" s="35"/>
      <c r="E465" s="35"/>
      <c r="F465" s="35"/>
      <c r="G465" s="35"/>
      <c r="H465" s="35"/>
      <c r="L465" s="35"/>
      <c r="O465" s="32"/>
      <c r="Q465" s="223"/>
      <c r="R465" s="223"/>
      <c r="S465" s="223"/>
    </row>
    <row r="466" spans="4:19" ht="25.5" customHeight="1">
      <c r="D466" s="35"/>
      <c r="E466" s="35"/>
      <c r="F466" s="35"/>
      <c r="G466" s="35"/>
      <c r="H466" s="35"/>
      <c r="L466" s="35"/>
      <c r="O466" s="32"/>
      <c r="Q466" s="223"/>
      <c r="R466" s="223"/>
      <c r="S466" s="223"/>
    </row>
    <row r="467" spans="4:19" ht="25.5" customHeight="1">
      <c r="D467" s="35"/>
      <c r="E467" s="35"/>
      <c r="F467" s="35"/>
      <c r="G467" s="35"/>
      <c r="H467" s="35"/>
      <c r="L467" s="35"/>
      <c r="O467" s="32"/>
      <c r="Q467" s="223"/>
      <c r="R467" s="223"/>
      <c r="S467" s="223"/>
    </row>
    <row r="468" spans="4:19" ht="25.5" customHeight="1">
      <c r="D468" s="35"/>
      <c r="E468" s="35"/>
      <c r="F468" s="35"/>
      <c r="G468" s="35"/>
      <c r="H468" s="35"/>
      <c r="L468" s="35"/>
      <c r="O468" s="32"/>
      <c r="Q468" s="223"/>
      <c r="R468" s="223"/>
      <c r="S468" s="223"/>
    </row>
    <row r="469" spans="4:19" ht="25.5" customHeight="1">
      <c r="D469" s="35"/>
      <c r="E469" s="35"/>
      <c r="F469" s="35"/>
      <c r="G469" s="35"/>
      <c r="H469" s="35"/>
      <c r="L469" s="35"/>
      <c r="O469" s="32"/>
      <c r="Q469" s="223"/>
      <c r="R469" s="223"/>
      <c r="S469" s="223"/>
    </row>
    <row r="470" spans="4:19" ht="25.5" customHeight="1">
      <c r="D470" s="35"/>
      <c r="E470" s="35"/>
      <c r="F470" s="35"/>
      <c r="G470" s="35"/>
      <c r="H470" s="35"/>
      <c r="L470" s="35"/>
      <c r="O470" s="32"/>
      <c r="Q470" s="223"/>
      <c r="R470" s="223"/>
      <c r="S470" s="223"/>
    </row>
    <row r="471" spans="4:19" ht="25.5" customHeight="1">
      <c r="D471" s="35"/>
      <c r="E471" s="35"/>
      <c r="F471" s="35"/>
      <c r="G471" s="35"/>
      <c r="H471" s="35"/>
      <c r="L471" s="35"/>
      <c r="O471" s="32"/>
      <c r="Q471" s="223"/>
      <c r="R471" s="223"/>
      <c r="S471" s="223"/>
    </row>
    <row r="472" spans="4:19" ht="25.5" customHeight="1">
      <c r="D472" s="35"/>
      <c r="E472" s="35"/>
      <c r="F472" s="35"/>
      <c r="G472" s="35"/>
      <c r="H472" s="35"/>
      <c r="L472" s="35"/>
      <c r="O472" s="32"/>
      <c r="Q472" s="223"/>
      <c r="R472" s="223"/>
      <c r="S472" s="223"/>
    </row>
    <row r="473" spans="4:19" ht="25.5" customHeight="1">
      <c r="D473" s="35"/>
      <c r="E473" s="35"/>
      <c r="F473" s="35"/>
      <c r="G473" s="35"/>
      <c r="H473" s="35"/>
      <c r="L473" s="35"/>
      <c r="O473" s="32"/>
      <c r="Q473" s="223"/>
      <c r="R473" s="223"/>
      <c r="S473" s="223"/>
    </row>
    <row r="474" spans="4:19" ht="25.5" customHeight="1">
      <c r="D474" s="35"/>
      <c r="E474" s="35"/>
      <c r="F474" s="35"/>
      <c r="G474" s="35"/>
      <c r="H474" s="35"/>
      <c r="L474" s="35"/>
      <c r="O474" s="32"/>
      <c r="Q474" s="223"/>
      <c r="R474" s="223"/>
      <c r="S474" s="223"/>
    </row>
    <row r="475" spans="4:19" ht="25.5" customHeight="1">
      <c r="D475" s="35"/>
      <c r="E475" s="35"/>
      <c r="F475" s="35"/>
      <c r="G475" s="35"/>
      <c r="H475" s="35"/>
      <c r="L475" s="35"/>
      <c r="O475" s="32"/>
      <c r="Q475" s="223"/>
      <c r="R475" s="223"/>
      <c r="S475" s="223"/>
    </row>
    <row r="476" spans="4:19" ht="25.5" customHeight="1">
      <c r="D476" s="35"/>
      <c r="E476" s="35"/>
      <c r="F476" s="35"/>
      <c r="G476" s="35"/>
      <c r="H476" s="35"/>
      <c r="L476" s="35"/>
      <c r="O476" s="32"/>
      <c r="Q476" s="223"/>
      <c r="R476" s="223"/>
      <c r="S476" s="223"/>
    </row>
    <row r="477" spans="4:19" ht="25.5" customHeight="1">
      <c r="D477" s="35"/>
      <c r="E477" s="35"/>
      <c r="F477" s="35"/>
      <c r="G477" s="35"/>
      <c r="H477" s="35"/>
      <c r="L477" s="35"/>
      <c r="O477" s="32"/>
      <c r="Q477" s="223"/>
      <c r="R477" s="223"/>
      <c r="S477" s="223"/>
    </row>
    <row r="478" spans="4:19" ht="25.5" customHeight="1">
      <c r="D478" s="35"/>
      <c r="E478" s="35"/>
      <c r="F478" s="35"/>
      <c r="G478" s="35"/>
      <c r="H478" s="35"/>
      <c r="L478" s="35"/>
      <c r="O478" s="32"/>
      <c r="Q478" s="223"/>
      <c r="R478" s="223"/>
      <c r="S478" s="223"/>
    </row>
    <row r="479" spans="4:19" ht="25.5" customHeight="1">
      <c r="D479" s="35"/>
      <c r="E479" s="35"/>
      <c r="F479" s="35"/>
      <c r="G479" s="35"/>
      <c r="H479" s="35"/>
      <c r="L479" s="35"/>
      <c r="O479" s="32"/>
      <c r="Q479" s="223"/>
      <c r="R479" s="223"/>
      <c r="S479" s="223"/>
    </row>
    <row r="480" spans="4:19" ht="25.5" customHeight="1">
      <c r="D480" s="35"/>
      <c r="E480" s="35"/>
      <c r="F480" s="35"/>
      <c r="G480" s="35"/>
      <c r="H480" s="35"/>
      <c r="L480" s="35"/>
      <c r="O480" s="32"/>
      <c r="Q480" s="223"/>
      <c r="R480" s="223"/>
      <c r="S480" s="223"/>
    </row>
    <row r="481" spans="4:19" ht="25.5" customHeight="1">
      <c r="D481" s="35"/>
      <c r="E481" s="35"/>
      <c r="F481" s="35"/>
      <c r="G481" s="35"/>
      <c r="H481" s="35"/>
      <c r="L481" s="35"/>
      <c r="O481" s="32"/>
      <c r="Q481" s="223"/>
      <c r="R481" s="223"/>
      <c r="S481" s="223"/>
    </row>
    <row r="482" spans="4:19" ht="25.5" customHeight="1">
      <c r="D482" s="35"/>
      <c r="E482" s="35"/>
      <c r="F482" s="35"/>
      <c r="G482" s="35"/>
      <c r="H482" s="35"/>
      <c r="L482" s="35"/>
      <c r="O482" s="32"/>
      <c r="Q482" s="223"/>
      <c r="R482" s="223"/>
      <c r="S482" s="223"/>
    </row>
    <row r="483" spans="4:19" ht="25.5" customHeight="1">
      <c r="D483" s="35"/>
      <c r="E483" s="35"/>
      <c r="F483" s="35"/>
      <c r="G483" s="35"/>
      <c r="H483" s="35"/>
      <c r="L483" s="35"/>
      <c r="O483" s="32"/>
      <c r="Q483" s="223"/>
      <c r="R483" s="223"/>
      <c r="S483" s="223"/>
    </row>
    <row r="484" spans="4:19" ht="25.5" customHeight="1">
      <c r="D484" s="35"/>
      <c r="E484" s="35"/>
      <c r="F484" s="35"/>
      <c r="G484" s="35"/>
      <c r="H484" s="35"/>
      <c r="L484" s="35"/>
      <c r="O484" s="32"/>
      <c r="Q484" s="223"/>
      <c r="R484" s="223"/>
      <c r="S484" s="223"/>
    </row>
    <row r="485" spans="4:19" ht="25.5" customHeight="1">
      <c r="D485" s="35"/>
      <c r="E485" s="35"/>
      <c r="F485" s="35"/>
      <c r="G485" s="35"/>
      <c r="H485" s="35"/>
      <c r="L485" s="35"/>
      <c r="O485" s="32"/>
      <c r="Q485" s="223"/>
      <c r="R485" s="223"/>
      <c r="S485" s="223"/>
    </row>
    <row r="486" spans="4:19" ht="25.5" customHeight="1">
      <c r="D486" s="35"/>
      <c r="E486" s="35"/>
      <c r="F486" s="35"/>
      <c r="G486" s="35"/>
      <c r="H486" s="35"/>
      <c r="L486" s="35"/>
      <c r="O486" s="32"/>
      <c r="Q486" s="223"/>
      <c r="R486" s="223"/>
      <c r="S486" s="223"/>
    </row>
    <row r="487" spans="4:19" ht="25.5" customHeight="1">
      <c r="D487" s="35"/>
      <c r="E487" s="35"/>
      <c r="F487" s="35"/>
      <c r="G487" s="35"/>
      <c r="H487" s="35"/>
      <c r="L487" s="35"/>
      <c r="O487" s="32"/>
      <c r="Q487" s="223"/>
      <c r="R487" s="223"/>
      <c r="S487" s="223"/>
    </row>
    <row r="488" spans="4:19" ht="25.5" customHeight="1">
      <c r="D488" s="35"/>
      <c r="E488" s="35"/>
      <c r="F488" s="35"/>
      <c r="G488" s="35"/>
      <c r="H488" s="35"/>
      <c r="L488" s="35"/>
      <c r="O488" s="32"/>
      <c r="Q488" s="223"/>
      <c r="R488" s="223"/>
      <c r="S488" s="223"/>
    </row>
    <row r="489" spans="4:19" ht="25.5" customHeight="1">
      <c r="D489" s="35"/>
      <c r="E489" s="35"/>
      <c r="F489" s="35"/>
      <c r="G489" s="35"/>
      <c r="H489" s="35"/>
      <c r="L489" s="35"/>
      <c r="O489" s="32"/>
      <c r="Q489" s="223"/>
      <c r="R489" s="223"/>
      <c r="S489" s="223"/>
    </row>
    <row r="490" spans="4:19" ht="25.5" customHeight="1">
      <c r="D490" s="35"/>
      <c r="E490" s="35"/>
      <c r="F490" s="35"/>
      <c r="G490" s="35"/>
      <c r="H490" s="35"/>
      <c r="L490" s="35"/>
      <c r="O490" s="32"/>
      <c r="Q490" s="223"/>
      <c r="R490" s="223"/>
      <c r="S490" s="223"/>
    </row>
    <row r="491" spans="4:19" ht="25.5" customHeight="1">
      <c r="D491" s="35"/>
      <c r="E491" s="35"/>
      <c r="F491" s="35"/>
      <c r="G491" s="35"/>
      <c r="H491" s="35"/>
      <c r="L491" s="35"/>
      <c r="O491" s="32"/>
      <c r="Q491" s="223"/>
      <c r="R491" s="223"/>
      <c r="S491" s="223"/>
    </row>
    <row r="492" spans="4:19" ht="25.5" customHeight="1">
      <c r="D492" s="35"/>
      <c r="E492" s="35"/>
      <c r="F492" s="35"/>
      <c r="G492" s="35"/>
      <c r="H492" s="35"/>
      <c r="L492" s="35"/>
      <c r="O492" s="32"/>
      <c r="Q492" s="223"/>
      <c r="R492" s="223"/>
      <c r="S492" s="223"/>
    </row>
    <row r="493" spans="4:19" ht="25.5" customHeight="1">
      <c r="D493" s="35"/>
      <c r="E493" s="35"/>
      <c r="F493" s="35"/>
      <c r="G493" s="35"/>
      <c r="H493" s="35"/>
      <c r="L493" s="35"/>
      <c r="O493" s="32"/>
      <c r="Q493" s="223"/>
      <c r="R493" s="223"/>
      <c r="S493" s="223"/>
    </row>
    <row r="494" spans="4:19" ht="25.5" customHeight="1">
      <c r="D494" s="35"/>
      <c r="E494" s="35"/>
      <c r="F494" s="35"/>
      <c r="G494" s="35"/>
      <c r="H494" s="35"/>
      <c r="L494" s="35"/>
      <c r="O494" s="32"/>
      <c r="Q494" s="223"/>
      <c r="R494" s="223"/>
      <c r="S494" s="223"/>
    </row>
    <row r="495" spans="4:19" ht="25.5" customHeight="1">
      <c r="D495" s="35"/>
      <c r="E495" s="35"/>
      <c r="F495" s="35"/>
      <c r="G495" s="35"/>
      <c r="H495" s="35"/>
      <c r="L495" s="35"/>
      <c r="O495" s="32"/>
      <c r="Q495" s="223"/>
      <c r="R495" s="223"/>
      <c r="S495" s="223"/>
    </row>
    <row r="496" spans="4:19" ht="25.5" customHeight="1">
      <c r="D496" s="35"/>
      <c r="E496" s="35"/>
      <c r="F496" s="35"/>
      <c r="G496" s="35"/>
      <c r="H496" s="35"/>
      <c r="L496" s="35"/>
      <c r="O496" s="32"/>
      <c r="Q496" s="223"/>
      <c r="R496" s="223"/>
      <c r="S496" s="223"/>
    </row>
    <row r="497" spans="4:19" ht="25.5" customHeight="1">
      <c r="D497" s="35"/>
      <c r="E497" s="35"/>
      <c r="F497" s="35"/>
      <c r="G497" s="35"/>
      <c r="H497" s="35"/>
      <c r="L497" s="35"/>
      <c r="O497" s="32"/>
      <c r="Q497" s="223"/>
      <c r="R497" s="223"/>
      <c r="S497" s="223"/>
    </row>
    <row r="498" spans="4:19" ht="25.5" customHeight="1">
      <c r="D498" s="35"/>
      <c r="E498" s="35"/>
      <c r="F498" s="35"/>
      <c r="G498" s="35"/>
      <c r="H498" s="35"/>
      <c r="L498" s="35"/>
      <c r="O498" s="32"/>
      <c r="Q498" s="223"/>
      <c r="R498" s="223"/>
      <c r="S498" s="223"/>
    </row>
    <row r="499" spans="4:19" ht="25.5" customHeight="1">
      <c r="D499" s="35"/>
      <c r="E499" s="35"/>
      <c r="F499" s="35"/>
      <c r="G499" s="35"/>
      <c r="H499" s="35"/>
      <c r="L499" s="35"/>
      <c r="O499" s="32"/>
      <c r="Q499" s="223"/>
      <c r="R499" s="223"/>
      <c r="S499" s="223"/>
    </row>
    <row r="500" spans="4:19" ht="25.5" customHeight="1">
      <c r="D500" s="35"/>
      <c r="E500" s="35"/>
      <c r="F500" s="35"/>
      <c r="G500" s="35"/>
      <c r="H500" s="35"/>
      <c r="L500" s="35"/>
      <c r="O500" s="32"/>
      <c r="Q500" s="223"/>
      <c r="R500" s="223"/>
      <c r="S500" s="223"/>
    </row>
    <row r="501" spans="4:19" ht="25.5" customHeight="1">
      <c r="D501" s="35"/>
      <c r="E501" s="35"/>
      <c r="F501" s="35"/>
      <c r="G501" s="35"/>
      <c r="H501" s="35"/>
      <c r="L501" s="35"/>
      <c r="O501" s="32"/>
      <c r="Q501" s="223"/>
      <c r="R501" s="223"/>
      <c r="S501" s="223"/>
    </row>
    <row r="502" spans="4:19" ht="25.5" customHeight="1">
      <c r="D502" s="35"/>
      <c r="E502" s="35"/>
      <c r="F502" s="35"/>
      <c r="G502" s="35"/>
      <c r="H502" s="35"/>
      <c r="L502" s="35"/>
      <c r="O502" s="32"/>
      <c r="Q502" s="223"/>
      <c r="R502" s="223"/>
      <c r="S502" s="223"/>
    </row>
    <row r="503" spans="4:19" ht="25.5" customHeight="1">
      <c r="D503" s="35"/>
      <c r="E503" s="35"/>
      <c r="F503" s="35"/>
      <c r="G503" s="35"/>
      <c r="H503" s="35"/>
      <c r="L503" s="35"/>
      <c r="O503" s="32"/>
      <c r="Q503" s="223"/>
      <c r="R503" s="223"/>
      <c r="S503" s="223"/>
    </row>
    <row r="504" spans="4:19" ht="25.5" customHeight="1">
      <c r="D504" s="35"/>
      <c r="E504" s="35"/>
      <c r="F504" s="35"/>
      <c r="G504" s="35"/>
      <c r="H504" s="35"/>
      <c r="L504" s="35"/>
      <c r="O504" s="32"/>
      <c r="Q504" s="223"/>
      <c r="R504" s="223"/>
      <c r="S504" s="223"/>
    </row>
    <row r="505" spans="4:19" ht="25.5" customHeight="1">
      <c r="D505" s="35"/>
      <c r="E505" s="35"/>
      <c r="F505" s="35"/>
      <c r="G505" s="35"/>
      <c r="H505" s="35"/>
      <c r="L505" s="35"/>
      <c r="O505" s="32"/>
      <c r="Q505" s="223"/>
      <c r="R505" s="223"/>
      <c r="S505" s="223"/>
    </row>
    <row r="506" spans="4:19" ht="25.5" customHeight="1">
      <c r="D506" s="35"/>
      <c r="E506" s="35"/>
      <c r="F506" s="35"/>
      <c r="G506" s="35"/>
      <c r="H506" s="35"/>
      <c r="L506" s="35"/>
      <c r="O506" s="32"/>
      <c r="Q506" s="223"/>
      <c r="R506" s="223"/>
      <c r="S506" s="223"/>
    </row>
    <row r="507" spans="4:19" ht="25.5" customHeight="1">
      <c r="D507" s="35"/>
      <c r="E507" s="35"/>
      <c r="F507" s="35"/>
      <c r="G507" s="35"/>
      <c r="H507" s="35"/>
      <c r="L507" s="35"/>
      <c r="O507" s="32"/>
      <c r="Q507" s="223"/>
      <c r="R507" s="223"/>
      <c r="S507" s="223"/>
    </row>
    <row r="508" spans="4:19" ht="25.5" customHeight="1">
      <c r="D508" s="35"/>
      <c r="E508" s="35"/>
      <c r="F508" s="35"/>
      <c r="G508" s="35"/>
      <c r="H508" s="35"/>
      <c r="L508" s="35"/>
      <c r="O508" s="32"/>
      <c r="Q508" s="223"/>
      <c r="R508" s="223"/>
      <c r="S508" s="223"/>
    </row>
    <row r="509" spans="4:19" ht="25.5" customHeight="1">
      <c r="D509" s="35"/>
      <c r="E509" s="35"/>
      <c r="F509" s="35"/>
      <c r="G509" s="35"/>
      <c r="H509" s="35"/>
      <c r="L509" s="35"/>
      <c r="O509" s="32"/>
      <c r="Q509" s="223"/>
      <c r="R509" s="223"/>
      <c r="S509" s="223"/>
    </row>
    <row r="510" spans="4:19" ht="25.5" customHeight="1">
      <c r="D510" s="35"/>
      <c r="E510" s="35"/>
      <c r="F510" s="35"/>
      <c r="G510" s="35"/>
      <c r="H510" s="35"/>
      <c r="L510" s="35"/>
      <c r="O510" s="32"/>
      <c r="Q510" s="223"/>
      <c r="R510" s="223"/>
      <c r="S510" s="223"/>
    </row>
    <row r="511" spans="4:19" ht="25.5" customHeight="1">
      <c r="D511" s="35"/>
      <c r="E511" s="35"/>
      <c r="F511" s="35"/>
      <c r="G511" s="35"/>
      <c r="H511" s="35"/>
      <c r="L511" s="35"/>
      <c r="O511" s="32"/>
      <c r="Q511" s="223"/>
      <c r="R511" s="223"/>
      <c r="S511" s="223"/>
    </row>
    <row r="512" spans="4:19" ht="25.5" customHeight="1">
      <c r="D512" s="35"/>
      <c r="E512" s="35"/>
      <c r="F512" s="35"/>
      <c r="G512" s="35"/>
      <c r="H512" s="35"/>
      <c r="L512" s="35"/>
      <c r="O512" s="32"/>
      <c r="Q512" s="223"/>
      <c r="R512" s="223"/>
      <c r="S512" s="223"/>
    </row>
    <row r="513" spans="4:19" ht="25.5" customHeight="1">
      <c r="D513" s="35"/>
      <c r="E513" s="35"/>
      <c r="F513" s="35"/>
      <c r="G513" s="35"/>
      <c r="H513" s="35"/>
      <c r="L513" s="35"/>
      <c r="O513" s="32"/>
      <c r="Q513" s="223"/>
      <c r="R513" s="223"/>
      <c r="S513" s="223"/>
    </row>
    <row r="514" spans="4:19" ht="25.5" customHeight="1">
      <c r="D514" s="35"/>
      <c r="E514" s="35"/>
      <c r="F514" s="35"/>
      <c r="G514" s="35"/>
      <c r="H514" s="35"/>
      <c r="L514" s="35"/>
      <c r="O514" s="32"/>
      <c r="Q514" s="223"/>
      <c r="R514" s="223"/>
      <c r="S514" s="223"/>
    </row>
    <row r="515" spans="4:19" ht="25.5" customHeight="1">
      <c r="D515" s="35"/>
      <c r="E515" s="35"/>
      <c r="F515" s="35"/>
      <c r="G515" s="35"/>
      <c r="H515" s="35"/>
      <c r="L515" s="35"/>
      <c r="O515" s="32"/>
      <c r="Q515" s="223"/>
      <c r="R515" s="223"/>
      <c r="S515" s="223"/>
    </row>
    <row r="516" spans="4:19" ht="25.5" customHeight="1">
      <c r="D516" s="35"/>
      <c r="E516" s="35"/>
      <c r="F516" s="35"/>
      <c r="G516" s="35"/>
      <c r="H516" s="35"/>
      <c r="L516" s="35"/>
      <c r="O516" s="32"/>
      <c r="Q516" s="223"/>
      <c r="R516" s="223"/>
      <c r="S516" s="223"/>
    </row>
    <row r="517" spans="4:19" ht="25.5" customHeight="1">
      <c r="D517" s="35"/>
      <c r="E517" s="35"/>
      <c r="F517" s="35"/>
      <c r="G517" s="35"/>
      <c r="H517" s="35"/>
      <c r="L517" s="35"/>
      <c r="O517" s="32"/>
      <c r="Q517" s="223"/>
      <c r="R517" s="223"/>
      <c r="S517" s="223"/>
    </row>
    <row r="518" spans="4:19" ht="25.5" customHeight="1">
      <c r="D518" s="35"/>
      <c r="E518" s="35"/>
      <c r="F518" s="35"/>
      <c r="G518" s="35"/>
      <c r="H518" s="35"/>
      <c r="L518" s="35"/>
      <c r="O518" s="32"/>
      <c r="Q518" s="223"/>
      <c r="R518" s="223"/>
      <c r="S518" s="223"/>
    </row>
    <row r="519" spans="4:19" ht="25.5" customHeight="1">
      <c r="D519" s="35"/>
      <c r="E519" s="35"/>
      <c r="F519" s="35"/>
      <c r="G519" s="35"/>
      <c r="H519" s="35"/>
      <c r="L519" s="35"/>
      <c r="O519" s="32"/>
      <c r="Q519" s="223"/>
      <c r="R519" s="223"/>
      <c r="S519" s="223"/>
    </row>
    <row r="520" spans="4:19" ht="25.5" customHeight="1">
      <c r="D520" s="35"/>
      <c r="E520" s="35"/>
      <c r="F520" s="35"/>
      <c r="G520" s="35"/>
      <c r="H520" s="35"/>
      <c r="L520" s="35"/>
      <c r="O520" s="32"/>
      <c r="Q520" s="223"/>
      <c r="R520" s="223"/>
      <c r="S520" s="223"/>
    </row>
    <row r="521" spans="4:19" ht="25.5" customHeight="1">
      <c r="D521" s="35"/>
      <c r="E521" s="35"/>
      <c r="F521" s="35"/>
      <c r="G521" s="35"/>
      <c r="H521" s="35"/>
      <c r="L521" s="35"/>
      <c r="O521" s="32"/>
      <c r="Q521" s="223"/>
      <c r="R521" s="223"/>
      <c r="S521" s="223"/>
    </row>
    <row r="522" spans="4:19" ht="25.5" customHeight="1">
      <c r="D522" s="35"/>
      <c r="E522" s="35"/>
      <c r="F522" s="35"/>
      <c r="G522" s="35"/>
      <c r="H522" s="35"/>
      <c r="L522" s="35"/>
      <c r="O522" s="32"/>
      <c r="Q522" s="223"/>
      <c r="R522" s="223"/>
      <c r="S522" s="223"/>
    </row>
    <row r="523" spans="4:19" ht="25.5" customHeight="1">
      <c r="D523" s="35"/>
      <c r="E523" s="35"/>
      <c r="F523" s="35"/>
      <c r="G523" s="35"/>
      <c r="H523" s="35"/>
      <c r="L523" s="35"/>
      <c r="O523" s="32"/>
      <c r="Q523" s="223"/>
      <c r="R523" s="223"/>
      <c r="S523" s="223"/>
    </row>
    <row r="524" spans="4:19" ht="25.5" customHeight="1">
      <c r="D524" s="35"/>
      <c r="E524" s="35"/>
      <c r="F524" s="35"/>
      <c r="G524" s="35"/>
      <c r="H524" s="35"/>
      <c r="L524" s="35"/>
      <c r="O524" s="32"/>
      <c r="Q524" s="223"/>
      <c r="R524" s="223"/>
      <c r="S524" s="223"/>
    </row>
    <row r="525" spans="4:19" ht="25.5" customHeight="1">
      <c r="D525" s="35"/>
      <c r="E525" s="35"/>
      <c r="F525" s="35"/>
      <c r="G525" s="35"/>
      <c r="H525" s="35"/>
      <c r="L525" s="35"/>
      <c r="O525" s="32"/>
      <c r="Q525" s="223"/>
      <c r="R525" s="223"/>
      <c r="S525" s="223"/>
    </row>
    <row r="526" spans="4:19" ht="25.5" customHeight="1">
      <c r="D526" s="35"/>
      <c r="E526" s="35"/>
      <c r="F526" s="35"/>
      <c r="G526" s="35"/>
      <c r="H526" s="35"/>
      <c r="L526" s="35"/>
      <c r="O526" s="32"/>
      <c r="Q526" s="223"/>
      <c r="R526" s="223"/>
      <c r="S526" s="223"/>
    </row>
    <row r="527" spans="4:19" ht="25.5" customHeight="1">
      <c r="D527" s="35"/>
      <c r="E527" s="35"/>
      <c r="F527" s="35"/>
      <c r="G527" s="35"/>
      <c r="H527" s="35"/>
      <c r="L527" s="35"/>
      <c r="O527" s="32"/>
      <c r="Q527" s="223"/>
      <c r="R527" s="223"/>
      <c r="S527" s="223"/>
    </row>
    <row r="528" spans="4:19" ht="25.5" customHeight="1">
      <c r="D528" s="35"/>
      <c r="E528" s="35"/>
      <c r="F528" s="35"/>
      <c r="G528" s="35"/>
      <c r="H528" s="35"/>
      <c r="L528" s="35"/>
      <c r="O528" s="32"/>
      <c r="Q528" s="223"/>
      <c r="R528" s="223"/>
      <c r="S528" s="223"/>
    </row>
    <row r="529" spans="4:19" ht="25.5" customHeight="1">
      <c r="D529" s="35"/>
      <c r="E529" s="35"/>
      <c r="F529" s="35"/>
      <c r="G529" s="35"/>
      <c r="H529" s="35"/>
      <c r="L529" s="35"/>
      <c r="O529" s="32"/>
      <c r="Q529" s="223"/>
      <c r="R529" s="223"/>
      <c r="S529" s="223"/>
    </row>
    <row r="530" spans="4:19" ht="25.5" customHeight="1">
      <c r="D530" s="35"/>
      <c r="E530" s="35"/>
      <c r="F530" s="35"/>
      <c r="G530" s="35"/>
      <c r="H530" s="35"/>
      <c r="L530" s="35"/>
      <c r="O530" s="32"/>
      <c r="Q530" s="223"/>
      <c r="R530" s="223"/>
      <c r="S530" s="223"/>
    </row>
    <row r="531" spans="4:19" ht="25.5" customHeight="1">
      <c r="D531" s="35"/>
      <c r="E531" s="35"/>
      <c r="F531" s="35"/>
      <c r="G531" s="35"/>
      <c r="H531" s="35"/>
      <c r="L531" s="35"/>
      <c r="O531" s="32"/>
      <c r="Q531" s="223"/>
      <c r="R531" s="223"/>
      <c r="S531" s="223"/>
    </row>
    <row r="532" spans="4:19" ht="25.5" customHeight="1">
      <c r="D532" s="35"/>
      <c r="E532" s="35"/>
      <c r="F532" s="35"/>
      <c r="G532" s="35"/>
      <c r="H532" s="35"/>
      <c r="L532" s="35"/>
      <c r="O532" s="32"/>
      <c r="Q532" s="223"/>
      <c r="R532" s="223"/>
      <c r="S532" s="223"/>
    </row>
    <row r="533" spans="4:19" ht="25.5" customHeight="1">
      <c r="D533" s="35"/>
      <c r="E533" s="35"/>
      <c r="F533" s="35"/>
      <c r="G533" s="35"/>
      <c r="H533" s="35"/>
      <c r="L533" s="35"/>
      <c r="O533" s="32"/>
      <c r="Q533" s="223"/>
      <c r="R533" s="223"/>
      <c r="S533" s="223"/>
    </row>
    <row r="534" spans="4:19" ht="25.5" customHeight="1">
      <c r="D534" s="35"/>
      <c r="E534" s="35"/>
      <c r="F534" s="35"/>
      <c r="G534" s="35"/>
      <c r="H534" s="35"/>
      <c r="L534" s="35"/>
      <c r="O534" s="32"/>
      <c r="Q534" s="223"/>
      <c r="R534" s="223"/>
      <c r="S534" s="223"/>
    </row>
    <row r="535" spans="4:19" ht="25.5" customHeight="1">
      <c r="D535" s="35"/>
      <c r="E535" s="35"/>
      <c r="F535" s="35"/>
      <c r="G535" s="35"/>
      <c r="H535" s="35"/>
      <c r="L535" s="35"/>
      <c r="O535" s="32"/>
      <c r="Q535" s="223"/>
      <c r="R535" s="223"/>
      <c r="S535" s="223"/>
    </row>
    <row r="536" spans="4:19" ht="25.5" customHeight="1">
      <c r="D536" s="35"/>
      <c r="E536" s="35"/>
      <c r="F536" s="35"/>
      <c r="G536" s="35"/>
      <c r="H536" s="35"/>
      <c r="L536" s="35"/>
      <c r="O536" s="32"/>
      <c r="Q536" s="223"/>
      <c r="R536" s="223"/>
      <c r="S536" s="223"/>
    </row>
    <row r="537" spans="4:19" ht="25.5" customHeight="1">
      <c r="D537" s="35"/>
      <c r="E537" s="35"/>
      <c r="F537" s="35"/>
      <c r="G537" s="35"/>
      <c r="H537" s="35"/>
      <c r="L537" s="35"/>
      <c r="O537" s="32"/>
      <c r="Q537" s="223"/>
      <c r="R537" s="223"/>
      <c r="S537" s="223"/>
    </row>
    <row r="538" spans="4:19" ht="25.5" customHeight="1">
      <c r="D538" s="35"/>
      <c r="E538" s="35"/>
      <c r="F538" s="35"/>
      <c r="G538" s="35"/>
      <c r="H538" s="35"/>
      <c r="L538" s="35"/>
      <c r="O538" s="32"/>
      <c r="Q538" s="223"/>
      <c r="R538" s="223"/>
      <c r="S538" s="223"/>
    </row>
    <row r="539" spans="4:19" ht="25.5" customHeight="1">
      <c r="D539" s="35"/>
      <c r="E539" s="35"/>
      <c r="F539" s="35"/>
      <c r="G539" s="35"/>
      <c r="H539" s="35"/>
      <c r="L539" s="35"/>
      <c r="O539" s="32"/>
      <c r="Q539" s="223"/>
      <c r="R539" s="223"/>
      <c r="S539" s="223"/>
    </row>
    <row r="540" spans="4:19" ht="25.5" customHeight="1">
      <c r="D540" s="35"/>
      <c r="E540" s="35"/>
      <c r="F540" s="35"/>
      <c r="G540" s="35"/>
      <c r="H540" s="35"/>
      <c r="L540" s="35"/>
      <c r="O540" s="32"/>
      <c r="Q540" s="223"/>
      <c r="R540" s="223"/>
      <c r="S540" s="223"/>
    </row>
    <row r="541" spans="4:19" ht="25.5" customHeight="1">
      <c r="D541" s="35"/>
      <c r="E541" s="35"/>
      <c r="F541" s="35"/>
      <c r="G541" s="35"/>
      <c r="H541" s="35"/>
      <c r="L541" s="35"/>
      <c r="O541" s="32"/>
      <c r="Q541" s="223"/>
      <c r="R541" s="223"/>
      <c r="S541" s="223"/>
    </row>
    <row r="542" spans="4:19" ht="25.5" customHeight="1">
      <c r="D542" s="35"/>
      <c r="E542" s="35"/>
      <c r="F542" s="35"/>
      <c r="G542" s="35"/>
      <c r="H542" s="35"/>
      <c r="L542" s="35"/>
      <c r="O542" s="32"/>
      <c r="Q542" s="223"/>
      <c r="R542" s="223"/>
      <c r="S542" s="223"/>
    </row>
    <row r="543" spans="4:19" ht="25.5" customHeight="1">
      <c r="D543" s="35"/>
      <c r="E543" s="35"/>
      <c r="F543" s="35"/>
      <c r="G543" s="35"/>
      <c r="H543" s="35"/>
      <c r="L543" s="35"/>
      <c r="O543" s="32"/>
      <c r="Q543" s="223"/>
      <c r="R543" s="223"/>
      <c r="S543" s="223"/>
    </row>
    <row r="544" spans="4:19" ht="25.5" customHeight="1">
      <c r="D544" s="35"/>
      <c r="E544" s="35"/>
      <c r="F544" s="35"/>
      <c r="G544" s="35"/>
      <c r="H544" s="35"/>
      <c r="L544" s="35"/>
      <c r="O544" s="32"/>
      <c r="Q544" s="223"/>
      <c r="R544" s="223"/>
      <c r="S544" s="223"/>
    </row>
    <row r="545" spans="4:19" ht="25.5" customHeight="1">
      <c r="D545" s="35"/>
      <c r="E545" s="35"/>
      <c r="F545" s="35"/>
      <c r="G545" s="35"/>
      <c r="H545" s="35"/>
      <c r="L545" s="35"/>
      <c r="O545" s="32"/>
      <c r="Q545" s="223"/>
      <c r="R545" s="223"/>
      <c r="S545" s="223"/>
    </row>
    <row r="546" spans="4:19" ht="25.5" customHeight="1">
      <c r="D546" s="35"/>
      <c r="E546" s="35"/>
      <c r="F546" s="35"/>
      <c r="G546" s="35"/>
      <c r="H546" s="35"/>
      <c r="L546" s="35"/>
      <c r="O546" s="32"/>
      <c r="Q546" s="223"/>
      <c r="R546" s="223"/>
      <c r="S546" s="223"/>
    </row>
    <row r="547" spans="4:19" ht="25.5" customHeight="1">
      <c r="D547" s="35"/>
      <c r="E547" s="35"/>
      <c r="F547" s="35"/>
      <c r="G547" s="35"/>
      <c r="H547" s="35"/>
      <c r="L547" s="35"/>
      <c r="O547" s="32"/>
      <c r="Q547" s="223"/>
      <c r="R547" s="223"/>
      <c r="S547" s="223"/>
    </row>
    <row r="548" spans="4:19" ht="25.5" customHeight="1">
      <c r="D548" s="35"/>
      <c r="E548" s="35"/>
      <c r="F548" s="35"/>
      <c r="G548" s="35"/>
      <c r="H548" s="35"/>
      <c r="L548" s="35"/>
      <c r="O548" s="32"/>
      <c r="Q548" s="223"/>
      <c r="R548" s="223"/>
      <c r="S548" s="223"/>
    </row>
    <row r="549" spans="4:19" ht="25.5" customHeight="1">
      <c r="D549" s="35"/>
      <c r="E549" s="35"/>
      <c r="F549" s="35"/>
      <c r="G549" s="35"/>
      <c r="H549" s="35"/>
      <c r="L549" s="35"/>
      <c r="O549" s="32"/>
      <c r="Q549" s="223"/>
      <c r="R549" s="223"/>
      <c r="S549" s="223"/>
    </row>
    <row r="550" spans="4:19" ht="25.5" customHeight="1">
      <c r="D550" s="35"/>
      <c r="E550" s="35"/>
      <c r="F550" s="35"/>
      <c r="G550" s="35"/>
      <c r="H550" s="35"/>
      <c r="L550" s="35"/>
      <c r="O550" s="32"/>
      <c r="Q550" s="223"/>
      <c r="R550" s="223"/>
      <c r="S550" s="223"/>
    </row>
    <row r="551" spans="4:19" ht="25.5" customHeight="1">
      <c r="D551" s="35"/>
      <c r="E551" s="35"/>
      <c r="F551" s="35"/>
      <c r="G551" s="35"/>
      <c r="H551" s="35"/>
      <c r="L551" s="35"/>
      <c r="O551" s="32"/>
      <c r="Q551" s="223"/>
      <c r="R551" s="223"/>
      <c r="S551" s="223"/>
    </row>
    <row r="552" spans="4:19" ht="25.5" customHeight="1">
      <c r="D552" s="35"/>
      <c r="E552" s="35"/>
      <c r="F552" s="35"/>
      <c r="G552" s="35"/>
      <c r="H552" s="35"/>
      <c r="L552" s="35"/>
      <c r="O552" s="32"/>
      <c r="Q552" s="223"/>
      <c r="R552" s="223"/>
      <c r="S552" s="223"/>
    </row>
    <row r="553" spans="4:19" ht="25.5" customHeight="1">
      <c r="D553" s="35"/>
      <c r="E553" s="35"/>
      <c r="F553" s="35"/>
      <c r="G553" s="35"/>
      <c r="H553" s="35"/>
      <c r="L553" s="35"/>
      <c r="O553" s="32"/>
      <c r="Q553" s="223"/>
      <c r="R553" s="223"/>
      <c r="S553" s="223"/>
    </row>
    <row r="554" spans="4:19" ht="25.5" customHeight="1">
      <c r="D554" s="35"/>
      <c r="E554" s="35"/>
      <c r="F554" s="35"/>
      <c r="G554" s="35"/>
      <c r="H554" s="35"/>
      <c r="L554" s="35"/>
      <c r="O554" s="32"/>
      <c r="Q554" s="223"/>
      <c r="R554" s="223"/>
      <c r="S554" s="223"/>
    </row>
    <row r="555" spans="4:19" ht="25.5" customHeight="1">
      <c r="D555" s="35"/>
      <c r="E555" s="35"/>
      <c r="F555" s="35"/>
      <c r="G555" s="35"/>
      <c r="H555" s="35"/>
      <c r="L555" s="35"/>
      <c r="O555" s="32"/>
      <c r="Q555" s="223"/>
      <c r="R555" s="223"/>
      <c r="S555" s="223"/>
    </row>
    <row r="556" spans="4:19" ht="25.5" customHeight="1">
      <c r="D556" s="35"/>
      <c r="E556" s="35"/>
      <c r="F556" s="35"/>
      <c r="G556" s="35"/>
      <c r="H556" s="35"/>
      <c r="L556" s="35"/>
      <c r="O556" s="32"/>
      <c r="Q556" s="223"/>
      <c r="R556" s="223"/>
      <c r="S556" s="223"/>
    </row>
    <row r="557" spans="4:19" ht="25.5" customHeight="1">
      <c r="D557" s="35"/>
      <c r="E557" s="35"/>
      <c r="F557" s="35"/>
      <c r="G557" s="35"/>
      <c r="H557" s="35"/>
      <c r="L557" s="35"/>
      <c r="O557" s="32"/>
      <c r="Q557" s="223"/>
      <c r="R557" s="223"/>
      <c r="S557" s="223"/>
    </row>
    <row r="558" spans="4:19" ht="25.5" customHeight="1">
      <c r="D558" s="35"/>
      <c r="E558" s="35"/>
      <c r="F558" s="35"/>
      <c r="G558" s="35"/>
      <c r="H558" s="35"/>
      <c r="L558" s="35"/>
      <c r="O558" s="32"/>
      <c r="Q558" s="223"/>
      <c r="R558" s="223"/>
      <c r="S558" s="223"/>
    </row>
    <row r="559" spans="4:19" ht="25.5" customHeight="1">
      <c r="D559" s="35"/>
      <c r="E559" s="35"/>
      <c r="F559" s="35"/>
      <c r="G559" s="35"/>
      <c r="H559" s="35"/>
      <c r="L559" s="35"/>
      <c r="O559" s="32"/>
      <c r="Q559" s="223"/>
      <c r="R559" s="223"/>
      <c r="S559" s="223"/>
    </row>
    <row r="560" spans="4:19" ht="25.5" customHeight="1">
      <c r="D560" s="35"/>
      <c r="E560" s="35"/>
      <c r="F560" s="35"/>
      <c r="G560" s="35"/>
      <c r="H560" s="35"/>
      <c r="L560" s="35"/>
      <c r="O560" s="32"/>
      <c r="Q560" s="223"/>
      <c r="R560" s="223"/>
      <c r="S560" s="223"/>
    </row>
    <row r="561" spans="4:19" ht="25.5" customHeight="1">
      <c r="D561" s="35"/>
      <c r="E561" s="35"/>
      <c r="F561" s="35"/>
      <c r="G561" s="35"/>
      <c r="H561" s="35"/>
      <c r="L561" s="35"/>
      <c r="O561" s="32"/>
      <c r="Q561" s="223"/>
      <c r="R561" s="223"/>
      <c r="S561" s="223"/>
    </row>
    <row r="562" spans="4:19" ht="25.5" customHeight="1">
      <c r="D562" s="35"/>
      <c r="E562" s="35"/>
      <c r="F562" s="35"/>
      <c r="G562" s="35"/>
      <c r="H562" s="35"/>
      <c r="L562" s="35"/>
      <c r="O562" s="32"/>
      <c r="Q562" s="223"/>
      <c r="R562" s="223"/>
      <c r="S562" s="223"/>
    </row>
    <row r="563" spans="4:19" ht="25.5" customHeight="1">
      <c r="D563" s="35"/>
      <c r="E563" s="35"/>
      <c r="F563" s="35"/>
      <c r="G563" s="35"/>
      <c r="H563" s="35"/>
      <c r="L563" s="35"/>
      <c r="O563" s="32"/>
      <c r="Q563" s="223"/>
      <c r="R563" s="223"/>
      <c r="S563" s="223"/>
    </row>
    <row r="564" spans="4:19" ht="25.5" customHeight="1">
      <c r="D564" s="35"/>
      <c r="E564" s="35"/>
      <c r="F564" s="35"/>
      <c r="G564" s="35"/>
      <c r="H564" s="35"/>
      <c r="L564" s="35"/>
      <c r="O564" s="32"/>
      <c r="Q564" s="223"/>
      <c r="R564" s="223"/>
      <c r="S564" s="223"/>
    </row>
    <row r="565" spans="4:19" ht="25.5" customHeight="1">
      <c r="D565" s="35"/>
      <c r="E565" s="35"/>
      <c r="F565" s="35"/>
      <c r="G565" s="35"/>
      <c r="H565" s="35"/>
      <c r="L565" s="35"/>
      <c r="O565" s="32"/>
      <c r="Q565" s="223"/>
      <c r="R565" s="223"/>
      <c r="S565" s="223"/>
    </row>
    <row r="566" spans="4:19" ht="25.5" customHeight="1">
      <c r="D566" s="35"/>
      <c r="E566" s="35"/>
      <c r="F566" s="35"/>
      <c r="G566" s="35"/>
      <c r="H566" s="35"/>
      <c r="L566" s="35"/>
      <c r="O566" s="32"/>
      <c r="Q566" s="223"/>
      <c r="R566" s="223"/>
      <c r="S566" s="223"/>
    </row>
    <row r="567" spans="4:19" ht="25.5" customHeight="1">
      <c r="D567" s="35"/>
      <c r="E567" s="35"/>
      <c r="F567" s="35"/>
      <c r="G567" s="35"/>
      <c r="H567" s="35"/>
      <c r="L567" s="35"/>
      <c r="O567" s="32"/>
      <c r="Q567" s="223"/>
      <c r="R567" s="223"/>
      <c r="S567" s="223"/>
    </row>
    <row r="568" spans="4:19" ht="25.5" customHeight="1">
      <c r="D568" s="35"/>
      <c r="E568" s="35"/>
      <c r="F568" s="35"/>
      <c r="G568" s="35"/>
      <c r="H568" s="35"/>
      <c r="L568" s="35"/>
      <c r="O568" s="32"/>
      <c r="Q568" s="223"/>
      <c r="R568" s="223"/>
      <c r="S568" s="223"/>
    </row>
    <row r="569" spans="4:19" ht="25.5" customHeight="1">
      <c r="D569" s="35"/>
      <c r="E569" s="35"/>
      <c r="F569" s="35"/>
      <c r="G569" s="35"/>
      <c r="H569" s="35"/>
      <c r="L569" s="35"/>
      <c r="O569" s="32"/>
      <c r="Q569" s="223"/>
      <c r="R569" s="223"/>
      <c r="S569" s="223"/>
    </row>
    <row r="570" spans="4:19" ht="25.5" customHeight="1">
      <c r="D570" s="35"/>
      <c r="E570" s="35"/>
      <c r="F570" s="35"/>
      <c r="G570" s="35"/>
      <c r="H570" s="35"/>
      <c r="L570" s="35"/>
      <c r="O570" s="32"/>
      <c r="Q570" s="223"/>
      <c r="R570" s="223"/>
      <c r="S570" s="223"/>
    </row>
    <row r="571" spans="4:19" ht="25.5" customHeight="1">
      <c r="D571" s="35"/>
      <c r="E571" s="35"/>
      <c r="F571" s="35"/>
      <c r="G571" s="35"/>
      <c r="H571" s="35"/>
      <c r="L571" s="35"/>
      <c r="O571" s="32"/>
      <c r="Q571" s="223"/>
      <c r="R571" s="223"/>
      <c r="S571" s="223"/>
    </row>
    <row r="572" spans="4:19" ht="25.5" customHeight="1">
      <c r="D572" s="35"/>
      <c r="E572" s="35"/>
      <c r="F572" s="35"/>
      <c r="G572" s="35"/>
      <c r="H572" s="35"/>
      <c r="L572" s="35"/>
      <c r="O572" s="32"/>
      <c r="Q572" s="223"/>
      <c r="R572" s="223"/>
      <c r="S572" s="223"/>
    </row>
    <row r="573" spans="4:19" ht="25.5" customHeight="1">
      <c r="D573" s="35"/>
      <c r="E573" s="35"/>
      <c r="F573" s="35"/>
      <c r="G573" s="35"/>
      <c r="H573" s="35"/>
      <c r="L573" s="35"/>
      <c r="O573" s="32"/>
      <c r="Q573" s="223"/>
      <c r="R573" s="223"/>
      <c r="S573" s="223"/>
    </row>
    <row r="574" spans="4:19" ht="25.5" customHeight="1">
      <c r="D574" s="35"/>
      <c r="E574" s="35"/>
      <c r="F574" s="35"/>
      <c r="G574" s="35"/>
      <c r="H574" s="35"/>
      <c r="L574" s="35"/>
      <c r="O574" s="32"/>
      <c r="Q574" s="223"/>
      <c r="R574" s="223"/>
      <c r="S574" s="223"/>
    </row>
    <row r="575" spans="4:19" ht="25.5" customHeight="1">
      <c r="D575" s="35"/>
      <c r="E575" s="35"/>
      <c r="F575" s="35"/>
      <c r="G575" s="35"/>
      <c r="H575" s="35"/>
      <c r="L575" s="35"/>
      <c r="O575" s="32"/>
      <c r="Q575" s="223"/>
      <c r="R575" s="223"/>
      <c r="S575" s="223"/>
    </row>
    <row r="576" spans="4:19" ht="25.5" customHeight="1">
      <c r="D576" s="35"/>
      <c r="E576" s="35"/>
      <c r="F576" s="35"/>
      <c r="G576" s="35"/>
      <c r="H576" s="35"/>
      <c r="L576" s="35"/>
      <c r="O576" s="32"/>
      <c r="Q576" s="223"/>
      <c r="R576" s="223"/>
      <c r="S576" s="223"/>
    </row>
    <row r="577" spans="4:19" ht="25.5" customHeight="1">
      <c r="D577" s="35"/>
      <c r="E577" s="35"/>
      <c r="F577" s="35"/>
      <c r="G577" s="35"/>
      <c r="H577" s="35"/>
      <c r="L577" s="35"/>
      <c r="O577" s="32"/>
      <c r="Q577" s="223"/>
      <c r="R577" s="223"/>
      <c r="S577" s="223"/>
    </row>
    <row r="578" spans="4:19" ht="25.5" customHeight="1">
      <c r="D578" s="35"/>
      <c r="E578" s="35"/>
      <c r="F578" s="35"/>
      <c r="G578" s="35"/>
      <c r="H578" s="35"/>
      <c r="L578" s="35"/>
      <c r="O578" s="32"/>
      <c r="Q578" s="223"/>
      <c r="R578" s="223"/>
      <c r="S578" s="223"/>
    </row>
    <row r="579" spans="4:19" ht="25.5" customHeight="1">
      <c r="D579" s="35"/>
      <c r="E579" s="35"/>
      <c r="F579" s="35"/>
      <c r="G579" s="35"/>
      <c r="H579" s="35"/>
      <c r="L579" s="35"/>
      <c r="O579" s="32"/>
      <c r="Q579" s="223"/>
      <c r="R579" s="223"/>
      <c r="S579" s="223"/>
    </row>
    <row r="580" spans="4:19" ht="25.5" customHeight="1">
      <c r="D580" s="35"/>
      <c r="E580" s="35"/>
      <c r="F580" s="35"/>
      <c r="G580" s="35"/>
      <c r="H580" s="35"/>
      <c r="L580" s="35"/>
      <c r="O580" s="32"/>
      <c r="Q580" s="223"/>
      <c r="R580" s="223"/>
      <c r="S580" s="223"/>
    </row>
    <row r="581" spans="4:19" ht="25.5" customHeight="1">
      <c r="D581" s="35"/>
      <c r="E581" s="35"/>
      <c r="F581" s="35"/>
      <c r="G581" s="35"/>
      <c r="H581" s="35"/>
      <c r="L581" s="35"/>
      <c r="O581" s="32"/>
      <c r="Q581" s="223"/>
      <c r="R581" s="223"/>
      <c r="S581" s="223"/>
    </row>
    <row r="582" spans="4:19" ht="25.5" customHeight="1">
      <c r="D582" s="35"/>
      <c r="E582" s="35"/>
      <c r="F582" s="35"/>
      <c r="G582" s="35"/>
      <c r="H582" s="35"/>
      <c r="L582" s="35"/>
      <c r="O582" s="32"/>
      <c r="Q582" s="223"/>
      <c r="R582" s="223"/>
      <c r="S582" s="223"/>
    </row>
    <row r="583" spans="4:19" ht="25.5" customHeight="1">
      <c r="D583" s="35"/>
      <c r="E583" s="35"/>
      <c r="F583" s="35"/>
      <c r="G583" s="35"/>
      <c r="H583" s="35"/>
      <c r="L583" s="35"/>
      <c r="O583" s="32"/>
      <c r="Q583" s="223"/>
      <c r="R583" s="223"/>
      <c r="S583" s="223"/>
    </row>
    <row r="584" spans="4:19" ht="25.5" customHeight="1">
      <c r="D584" s="35"/>
      <c r="E584" s="35"/>
      <c r="F584" s="35"/>
      <c r="G584" s="35"/>
      <c r="H584" s="35"/>
      <c r="L584" s="35"/>
      <c r="O584" s="32"/>
      <c r="Q584" s="223"/>
      <c r="R584" s="223"/>
      <c r="S584" s="223"/>
    </row>
    <row r="585" spans="4:19" ht="25.5" customHeight="1">
      <c r="D585" s="35"/>
      <c r="E585" s="35"/>
      <c r="F585" s="35"/>
      <c r="G585" s="35"/>
      <c r="H585" s="35"/>
      <c r="L585" s="35"/>
      <c r="O585" s="32"/>
      <c r="Q585" s="223"/>
      <c r="R585" s="223"/>
      <c r="S585" s="223"/>
    </row>
    <row r="586" spans="4:19" ht="25.5" customHeight="1">
      <c r="D586" s="35"/>
      <c r="E586" s="35"/>
      <c r="F586" s="35"/>
      <c r="G586" s="35"/>
      <c r="H586" s="35"/>
      <c r="L586" s="35"/>
      <c r="O586" s="32"/>
      <c r="Q586" s="223"/>
      <c r="R586" s="223"/>
      <c r="S586" s="223"/>
    </row>
    <row r="587" spans="4:19" ht="25.5" customHeight="1">
      <c r="D587" s="35"/>
      <c r="E587" s="35"/>
      <c r="F587" s="35"/>
      <c r="G587" s="35"/>
      <c r="H587" s="35"/>
      <c r="L587" s="35"/>
      <c r="O587" s="32"/>
      <c r="Q587" s="223"/>
      <c r="R587" s="223"/>
      <c r="S587" s="223"/>
    </row>
    <row r="588" spans="4:19" ht="25.5" customHeight="1">
      <c r="D588" s="35"/>
      <c r="E588" s="35"/>
      <c r="F588" s="35"/>
      <c r="G588" s="35"/>
      <c r="H588" s="35"/>
      <c r="L588" s="35"/>
      <c r="O588" s="32"/>
      <c r="Q588" s="223"/>
      <c r="R588" s="223"/>
      <c r="S588" s="223"/>
    </row>
    <row r="589" spans="4:19" ht="25.5" customHeight="1">
      <c r="D589" s="35"/>
      <c r="E589" s="35"/>
      <c r="F589" s="35"/>
      <c r="G589" s="35"/>
      <c r="H589" s="35"/>
      <c r="L589" s="35"/>
      <c r="O589" s="32"/>
      <c r="Q589" s="223"/>
      <c r="R589" s="223"/>
      <c r="S589" s="223"/>
    </row>
    <row r="590" spans="4:19" ht="25.5" customHeight="1">
      <c r="D590" s="35"/>
      <c r="E590" s="35"/>
      <c r="F590" s="35"/>
      <c r="G590" s="35"/>
      <c r="H590" s="35"/>
      <c r="L590" s="35"/>
      <c r="O590" s="32"/>
      <c r="Q590" s="223"/>
      <c r="R590" s="223"/>
      <c r="S590" s="223"/>
    </row>
    <row r="591" spans="4:19" ht="25.5" customHeight="1">
      <c r="D591" s="35"/>
      <c r="E591" s="35"/>
      <c r="F591" s="35"/>
      <c r="G591" s="35"/>
      <c r="H591" s="35"/>
      <c r="L591" s="35"/>
      <c r="O591" s="32"/>
      <c r="Q591" s="223"/>
      <c r="R591" s="223"/>
      <c r="S591" s="223"/>
    </row>
    <row r="592" spans="4:19" ht="25.5" customHeight="1">
      <c r="D592" s="35"/>
      <c r="E592" s="35"/>
      <c r="F592" s="35"/>
      <c r="G592" s="35"/>
      <c r="H592" s="35"/>
      <c r="L592" s="35"/>
      <c r="O592" s="32"/>
      <c r="Q592" s="223"/>
      <c r="R592" s="223"/>
      <c r="S592" s="223"/>
    </row>
    <row r="593" spans="4:19" ht="25.5" customHeight="1">
      <c r="D593" s="35"/>
      <c r="E593" s="35"/>
      <c r="F593" s="35"/>
      <c r="G593" s="35"/>
      <c r="H593" s="35"/>
      <c r="L593" s="35"/>
      <c r="O593" s="32"/>
      <c r="Q593" s="223"/>
      <c r="R593" s="223"/>
      <c r="S593" s="223"/>
    </row>
    <row r="594" spans="4:19" ht="25.5" customHeight="1">
      <c r="D594" s="35"/>
      <c r="E594" s="35"/>
      <c r="F594" s="35"/>
      <c r="G594" s="35"/>
      <c r="H594" s="35"/>
      <c r="L594" s="35"/>
      <c r="O594" s="32"/>
      <c r="Q594" s="223"/>
      <c r="R594" s="223"/>
      <c r="S594" s="223"/>
    </row>
    <row r="595" spans="4:19" ht="25.5" customHeight="1">
      <c r="D595" s="35"/>
      <c r="E595" s="35"/>
      <c r="F595" s="35"/>
      <c r="G595" s="35"/>
      <c r="H595" s="35"/>
      <c r="L595" s="35"/>
      <c r="O595" s="32"/>
      <c r="Q595" s="223"/>
      <c r="R595" s="223"/>
      <c r="S595" s="223"/>
    </row>
    <row r="596" spans="4:19" ht="25.5" customHeight="1">
      <c r="D596" s="35"/>
      <c r="E596" s="35"/>
      <c r="F596" s="35"/>
      <c r="G596" s="35"/>
      <c r="H596" s="35"/>
      <c r="L596" s="35"/>
      <c r="O596" s="32"/>
      <c r="Q596" s="223"/>
      <c r="R596" s="223"/>
      <c r="S596" s="223"/>
    </row>
    <row r="597" spans="4:19" ht="25.5" customHeight="1">
      <c r="D597" s="35"/>
      <c r="E597" s="35"/>
      <c r="F597" s="35"/>
      <c r="G597" s="35"/>
      <c r="H597" s="35"/>
      <c r="L597" s="35"/>
      <c r="O597" s="32"/>
      <c r="Q597" s="223"/>
      <c r="R597" s="223"/>
      <c r="S597" s="223"/>
    </row>
    <row r="598" spans="4:19" ht="25.5" customHeight="1">
      <c r="D598" s="35"/>
      <c r="E598" s="35"/>
      <c r="F598" s="35"/>
      <c r="G598" s="35"/>
      <c r="H598" s="35"/>
      <c r="L598" s="35"/>
      <c r="O598" s="32"/>
      <c r="Q598" s="223"/>
      <c r="R598" s="223"/>
      <c r="S598" s="223"/>
    </row>
    <row r="599" spans="4:19" ht="25.5" customHeight="1">
      <c r="D599" s="35"/>
      <c r="E599" s="35"/>
      <c r="F599" s="35"/>
      <c r="G599" s="35"/>
      <c r="H599" s="35"/>
      <c r="L599" s="35"/>
      <c r="O599" s="32"/>
      <c r="Q599" s="223"/>
      <c r="R599" s="223"/>
      <c r="S599" s="223"/>
    </row>
    <row r="600" spans="4:19" ht="25.5" customHeight="1">
      <c r="D600" s="35"/>
      <c r="E600" s="35"/>
      <c r="F600" s="35"/>
      <c r="G600" s="35"/>
      <c r="H600" s="35"/>
      <c r="L600" s="35"/>
      <c r="O600" s="32"/>
      <c r="Q600" s="223"/>
      <c r="R600" s="223"/>
      <c r="S600" s="223"/>
    </row>
    <row r="601" spans="4:19" ht="25.5" customHeight="1">
      <c r="D601" s="35"/>
      <c r="E601" s="35"/>
      <c r="F601" s="35"/>
      <c r="G601" s="35"/>
      <c r="H601" s="35"/>
      <c r="L601" s="35"/>
      <c r="O601" s="32"/>
      <c r="Q601" s="223"/>
      <c r="R601" s="223"/>
      <c r="S601" s="223"/>
    </row>
    <row r="602" spans="4:19" ht="25.5" customHeight="1">
      <c r="D602" s="35"/>
      <c r="E602" s="35"/>
      <c r="F602" s="35"/>
      <c r="G602" s="35"/>
      <c r="H602" s="35"/>
      <c r="L602" s="35"/>
      <c r="O602" s="32"/>
      <c r="Q602" s="223"/>
      <c r="R602" s="223"/>
      <c r="S602" s="223"/>
    </row>
    <row r="603" spans="4:19" ht="25.5" customHeight="1">
      <c r="D603" s="35"/>
      <c r="E603" s="35"/>
      <c r="F603" s="35"/>
      <c r="G603" s="35"/>
      <c r="H603" s="35"/>
      <c r="L603" s="35"/>
      <c r="O603" s="32"/>
      <c r="Q603" s="223"/>
      <c r="R603" s="223"/>
      <c r="S603" s="223"/>
    </row>
    <row r="604" spans="4:19" ht="25.5" customHeight="1">
      <c r="D604" s="35"/>
      <c r="E604" s="35"/>
      <c r="F604" s="35"/>
      <c r="G604" s="35"/>
      <c r="H604" s="35"/>
      <c r="L604" s="35"/>
      <c r="O604" s="32"/>
      <c r="Q604" s="223"/>
      <c r="R604" s="223"/>
      <c r="S604" s="223"/>
    </row>
    <row r="605" spans="4:19" ht="25.5" customHeight="1">
      <c r="D605" s="35"/>
      <c r="E605" s="35"/>
      <c r="F605" s="35"/>
      <c r="G605" s="35"/>
      <c r="H605" s="35"/>
      <c r="L605" s="35"/>
      <c r="O605" s="32"/>
      <c r="Q605" s="223"/>
      <c r="R605" s="223"/>
      <c r="S605" s="223"/>
    </row>
    <row r="606" spans="4:19" ht="25.5" customHeight="1">
      <c r="D606" s="35"/>
      <c r="E606" s="35"/>
      <c r="F606" s="35"/>
      <c r="G606" s="35"/>
      <c r="H606" s="35"/>
      <c r="L606" s="35"/>
      <c r="O606" s="32"/>
      <c r="Q606" s="223"/>
      <c r="R606" s="223"/>
      <c r="S606" s="223"/>
    </row>
    <row r="607" spans="4:19" ht="25.5" customHeight="1">
      <c r="D607" s="35"/>
      <c r="E607" s="35"/>
      <c r="F607" s="35"/>
      <c r="G607" s="35"/>
      <c r="H607" s="35"/>
      <c r="L607" s="35"/>
      <c r="O607" s="32"/>
      <c r="Q607" s="223"/>
      <c r="R607" s="223"/>
      <c r="S607" s="223"/>
    </row>
    <row r="608" spans="4:19" ht="25.5" customHeight="1">
      <c r="D608" s="35"/>
      <c r="E608" s="35"/>
      <c r="F608" s="35"/>
      <c r="G608" s="35"/>
      <c r="H608" s="35"/>
      <c r="L608" s="35"/>
      <c r="O608" s="32"/>
      <c r="Q608" s="223"/>
      <c r="R608" s="223"/>
      <c r="S608" s="223"/>
    </row>
    <row r="609" spans="4:19" ht="25.5" customHeight="1">
      <c r="D609" s="35"/>
      <c r="E609" s="35"/>
      <c r="F609" s="35"/>
      <c r="G609" s="35"/>
      <c r="H609" s="35"/>
      <c r="L609" s="35"/>
      <c r="O609" s="32"/>
      <c r="Q609" s="223"/>
      <c r="R609" s="223"/>
      <c r="S609" s="223"/>
    </row>
    <row r="610" spans="4:19" ht="25.5" customHeight="1">
      <c r="D610" s="35"/>
      <c r="E610" s="35"/>
      <c r="F610" s="35"/>
      <c r="G610" s="35"/>
      <c r="H610" s="35"/>
      <c r="L610" s="35"/>
      <c r="O610" s="32"/>
      <c r="Q610" s="223"/>
      <c r="R610" s="223"/>
      <c r="S610" s="223"/>
    </row>
    <row r="611" spans="4:19" ht="25.5" customHeight="1">
      <c r="D611" s="35"/>
      <c r="E611" s="35"/>
      <c r="F611" s="35"/>
      <c r="G611" s="35"/>
      <c r="H611" s="35"/>
      <c r="L611" s="35"/>
      <c r="O611" s="32"/>
      <c r="Q611" s="223"/>
      <c r="R611" s="223"/>
      <c r="S611" s="223"/>
    </row>
    <row r="612" spans="4:19" ht="25.5" customHeight="1">
      <c r="D612" s="35"/>
      <c r="E612" s="35"/>
      <c r="F612" s="35"/>
      <c r="G612" s="35"/>
      <c r="H612" s="35"/>
      <c r="L612" s="35"/>
      <c r="O612" s="32"/>
      <c r="Q612" s="223"/>
      <c r="R612" s="223"/>
      <c r="S612" s="223"/>
    </row>
    <row r="613" spans="4:19" ht="25.5" customHeight="1">
      <c r="D613" s="35"/>
      <c r="E613" s="35"/>
      <c r="F613" s="35"/>
      <c r="G613" s="35"/>
      <c r="H613" s="35"/>
      <c r="L613" s="35"/>
      <c r="O613" s="32"/>
      <c r="Q613" s="223"/>
      <c r="R613" s="223"/>
      <c r="S613" s="223"/>
    </row>
    <row r="614" spans="4:19" ht="25.5" customHeight="1">
      <c r="D614" s="35"/>
      <c r="E614" s="35"/>
      <c r="F614" s="35"/>
      <c r="G614" s="35"/>
      <c r="H614" s="35"/>
      <c r="L614" s="35"/>
      <c r="O614" s="32"/>
      <c r="Q614" s="223"/>
      <c r="R614" s="223"/>
      <c r="S614" s="223"/>
    </row>
    <row r="615" spans="4:19" ht="25.5" customHeight="1">
      <c r="D615" s="35"/>
      <c r="E615" s="35"/>
      <c r="F615" s="35"/>
      <c r="G615" s="35"/>
      <c r="H615" s="35"/>
      <c r="L615" s="35"/>
      <c r="O615" s="32"/>
      <c r="Q615" s="223"/>
      <c r="R615" s="223"/>
      <c r="S615" s="223"/>
    </row>
    <row r="616" spans="4:19" ht="25.5" customHeight="1">
      <c r="D616" s="35"/>
      <c r="E616" s="35"/>
      <c r="F616" s="35"/>
      <c r="G616" s="35"/>
      <c r="H616" s="35"/>
      <c r="L616" s="35"/>
      <c r="O616" s="32"/>
      <c r="Q616" s="223"/>
      <c r="R616" s="223"/>
      <c r="S616" s="223"/>
    </row>
    <row r="617" spans="4:19" ht="25.5" customHeight="1">
      <c r="D617" s="35"/>
      <c r="E617" s="35"/>
      <c r="F617" s="35"/>
      <c r="G617" s="35"/>
      <c r="H617" s="35"/>
      <c r="L617" s="35"/>
      <c r="O617" s="32"/>
      <c r="Q617" s="223"/>
      <c r="R617" s="223"/>
      <c r="S617" s="223"/>
    </row>
    <row r="618" spans="4:19" ht="25.5" customHeight="1">
      <c r="D618" s="35"/>
      <c r="E618" s="35"/>
      <c r="F618" s="35"/>
      <c r="G618" s="35"/>
      <c r="H618" s="35"/>
      <c r="L618" s="35"/>
      <c r="O618" s="32"/>
      <c r="Q618" s="223"/>
      <c r="R618" s="223"/>
      <c r="S618" s="223"/>
    </row>
    <row r="619" spans="4:19" ht="25.5" customHeight="1">
      <c r="D619" s="35"/>
      <c r="E619" s="35"/>
      <c r="F619" s="35"/>
      <c r="G619" s="35"/>
      <c r="H619" s="35"/>
      <c r="L619" s="35"/>
      <c r="O619" s="32"/>
      <c r="Q619" s="223"/>
      <c r="R619" s="223"/>
      <c r="S619" s="223"/>
    </row>
    <row r="620" spans="4:19" ht="25.5" customHeight="1">
      <c r="D620" s="35"/>
      <c r="E620" s="35"/>
      <c r="F620" s="35"/>
      <c r="G620" s="35"/>
      <c r="H620" s="35"/>
      <c r="L620" s="35"/>
      <c r="O620" s="32"/>
      <c r="Q620" s="223"/>
      <c r="R620" s="223"/>
      <c r="S620" s="223"/>
    </row>
    <row r="621" spans="4:19" ht="25.5" customHeight="1">
      <c r="D621" s="35"/>
      <c r="E621" s="35"/>
      <c r="F621" s="35"/>
      <c r="G621" s="35"/>
      <c r="H621" s="35"/>
      <c r="L621" s="35"/>
      <c r="O621" s="32"/>
      <c r="Q621" s="223"/>
      <c r="R621" s="223"/>
      <c r="S621" s="223"/>
    </row>
    <row r="622" spans="4:19" ht="25.5" customHeight="1">
      <c r="D622" s="35"/>
      <c r="E622" s="35"/>
      <c r="F622" s="35"/>
      <c r="G622" s="35"/>
      <c r="H622" s="35"/>
      <c r="L622" s="35"/>
      <c r="O622" s="32"/>
      <c r="Q622" s="223"/>
      <c r="R622" s="223"/>
      <c r="S622" s="223"/>
    </row>
    <row r="623" spans="4:19" ht="25.5" customHeight="1">
      <c r="D623" s="35"/>
      <c r="E623" s="35"/>
      <c r="F623" s="35"/>
      <c r="G623" s="35"/>
      <c r="H623" s="35"/>
      <c r="L623" s="35"/>
      <c r="O623" s="32"/>
      <c r="Q623" s="223"/>
      <c r="R623" s="223"/>
      <c r="S623" s="223"/>
    </row>
    <row r="624" spans="4:19" ht="25.5" customHeight="1">
      <c r="D624" s="35"/>
      <c r="E624" s="35"/>
      <c r="F624" s="35"/>
      <c r="G624" s="35"/>
      <c r="H624" s="35"/>
      <c r="L624" s="35"/>
      <c r="O624" s="32"/>
      <c r="Q624" s="223"/>
      <c r="R624" s="223"/>
      <c r="S624" s="223"/>
    </row>
    <row r="625" spans="4:19" ht="25.5" customHeight="1">
      <c r="D625" s="35"/>
      <c r="E625" s="35"/>
      <c r="F625" s="35"/>
      <c r="G625" s="35"/>
      <c r="H625" s="35"/>
      <c r="L625" s="35"/>
      <c r="O625" s="32"/>
      <c r="Q625" s="223"/>
      <c r="R625" s="223"/>
      <c r="S625" s="223"/>
    </row>
    <row r="626" spans="4:19" ht="25.5" customHeight="1">
      <c r="D626" s="35"/>
      <c r="E626" s="35"/>
      <c r="F626" s="35"/>
      <c r="G626" s="35"/>
      <c r="H626" s="35"/>
      <c r="L626" s="35"/>
      <c r="O626" s="32"/>
      <c r="Q626" s="223"/>
      <c r="R626" s="223"/>
      <c r="S626" s="223"/>
    </row>
    <row r="627" spans="4:19" ht="25.5" customHeight="1">
      <c r="D627" s="35"/>
      <c r="E627" s="35"/>
      <c r="F627" s="35"/>
      <c r="G627" s="35"/>
      <c r="H627" s="35"/>
      <c r="L627" s="35"/>
      <c r="O627" s="32"/>
      <c r="Q627" s="223"/>
      <c r="R627" s="223"/>
      <c r="S627" s="223"/>
    </row>
    <row r="628" spans="4:19" ht="25.5" customHeight="1">
      <c r="D628" s="35"/>
      <c r="E628" s="35"/>
      <c r="F628" s="35"/>
      <c r="G628" s="35"/>
      <c r="H628" s="35"/>
      <c r="L628" s="35"/>
      <c r="O628" s="32"/>
      <c r="Q628" s="223"/>
      <c r="R628" s="223"/>
      <c r="S628" s="223"/>
    </row>
    <row r="629" spans="4:19" ht="25.5" customHeight="1">
      <c r="D629" s="35"/>
      <c r="E629" s="35"/>
      <c r="F629" s="35"/>
      <c r="G629" s="35"/>
      <c r="H629" s="35"/>
      <c r="L629" s="35"/>
      <c r="O629" s="32"/>
      <c r="Q629" s="223"/>
      <c r="R629" s="223"/>
      <c r="S629" s="223"/>
    </row>
    <row r="630" spans="4:19" ht="25.5" customHeight="1">
      <c r="D630" s="35"/>
      <c r="E630" s="35"/>
      <c r="F630" s="35"/>
      <c r="G630" s="35"/>
      <c r="H630" s="35"/>
      <c r="L630" s="35"/>
      <c r="O630" s="32"/>
      <c r="Q630" s="223"/>
      <c r="R630" s="223"/>
      <c r="S630" s="223"/>
    </row>
    <row r="631" spans="4:19" ht="25.5" customHeight="1">
      <c r="D631" s="35"/>
      <c r="E631" s="35"/>
      <c r="F631" s="35"/>
      <c r="G631" s="35"/>
      <c r="H631" s="35"/>
      <c r="L631" s="35"/>
      <c r="O631" s="32"/>
      <c r="Q631" s="223"/>
      <c r="R631" s="223"/>
      <c r="S631" s="223"/>
    </row>
    <row r="632" spans="4:19" ht="25.5" customHeight="1">
      <c r="D632" s="35"/>
      <c r="E632" s="35"/>
      <c r="F632" s="35"/>
      <c r="G632" s="35"/>
      <c r="H632" s="35"/>
      <c r="L632" s="35"/>
      <c r="O632" s="32"/>
      <c r="Q632" s="223"/>
      <c r="R632" s="223"/>
      <c r="S632" s="223"/>
    </row>
    <row r="633" spans="4:19" ht="25.5" customHeight="1">
      <c r="D633" s="35"/>
      <c r="E633" s="35"/>
      <c r="F633" s="35"/>
      <c r="G633" s="35"/>
      <c r="H633" s="35"/>
      <c r="L633" s="35"/>
      <c r="O633" s="32"/>
      <c r="Q633" s="223"/>
      <c r="R633" s="223"/>
      <c r="S633" s="223"/>
    </row>
    <row r="634" spans="4:19" ht="25.5" customHeight="1">
      <c r="D634" s="35"/>
      <c r="E634" s="35"/>
      <c r="F634" s="35"/>
      <c r="G634" s="35"/>
      <c r="H634" s="35"/>
      <c r="L634" s="35"/>
      <c r="O634" s="32"/>
      <c r="Q634" s="223"/>
      <c r="R634" s="223"/>
      <c r="S634" s="223"/>
    </row>
    <row r="635" spans="4:19" ht="25.5" customHeight="1">
      <c r="D635" s="35"/>
      <c r="E635" s="35"/>
      <c r="F635" s="35"/>
      <c r="G635" s="35"/>
      <c r="H635" s="35"/>
      <c r="L635" s="35"/>
      <c r="O635" s="32"/>
      <c r="Q635" s="223"/>
      <c r="R635" s="223"/>
      <c r="S635" s="223"/>
    </row>
    <row r="636" spans="4:19" ht="25.5" customHeight="1">
      <c r="D636" s="35"/>
      <c r="E636" s="35"/>
      <c r="F636" s="35"/>
      <c r="G636" s="35"/>
      <c r="H636" s="35"/>
      <c r="L636" s="35"/>
      <c r="O636" s="32"/>
      <c r="Q636" s="223"/>
      <c r="R636" s="223"/>
      <c r="S636" s="223"/>
    </row>
    <row r="637" spans="4:19" ht="25.5" customHeight="1">
      <c r="D637" s="35"/>
      <c r="E637" s="35"/>
      <c r="F637" s="35"/>
      <c r="G637" s="35"/>
      <c r="H637" s="35"/>
      <c r="L637" s="35"/>
      <c r="O637" s="32"/>
      <c r="Q637" s="223"/>
      <c r="R637" s="223"/>
      <c r="S637" s="223"/>
    </row>
    <row r="638" spans="4:19" ht="25.5" customHeight="1">
      <c r="D638" s="35"/>
      <c r="E638" s="35"/>
      <c r="F638" s="35"/>
      <c r="G638" s="35"/>
      <c r="H638" s="35"/>
      <c r="L638" s="35"/>
      <c r="O638" s="32"/>
      <c r="Q638" s="223"/>
      <c r="R638" s="223"/>
      <c r="S638" s="223"/>
    </row>
    <row r="639" spans="4:19" ht="25.5" customHeight="1">
      <c r="D639" s="35"/>
      <c r="E639" s="35"/>
      <c r="F639" s="35"/>
      <c r="G639" s="35"/>
      <c r="H639" s="35"/>
      <c r="L639" s="35"/>
      <c r="O639" s="32"/>
      <c r="Q639" s="223"/>
      <c r="R639" s="223"/>
      <c r="S639" s="223"/>
    </row>
    <row r="640" spans="4:19" ht="25.5" customHeight="1">
      <c r="D640" s="35"/>
      <c r="E640" s="35"/>
      <c r="F640" s="35"/>
      <c r="G640" s="35"/>
      <c r="H640" s="35"/>
      <c r="L640" s="35"/>
      <c r="O640" s="32"/>
      <c r="Q640" s="223"/>
      <c r="R640" s="223"/>
      <c r="S640" s="223"/>
    </row>
    <row r="641" spans="4:19" ht="25.5" customHeight="1">
      <c r="D641" s="35"/>
      <c r="E641" s="35"/>
      <c r="F641" s="35"/>
      <c r="G641" s="35"/>
      <c r="H641" s="35"/>
      <c r="L641" s="35"/>
      <c r="O641" s="32"/>
      <c r="Q641" s="223"/>
      <c r="R641" s="223"/>
      <c r="S641" s="223"/>
    </row>
    <row r="642" spans="4:19" ht="25.5" customHeight="1">
      <c r="D642" s="35"/>
      <c r="E642" s="35"/>
      <c r="F642" s="35"/>
      <c r="G642" s="35"/>
      <c r="H642" s="35"/>
      <c r="L642" s="35"/>
      <c r="O642" s="32"/>
      <c r="Q642" s="223"/>
      <c r="R642" s="223"/>
      <c r="S642" s="223"/>
    </row>
    <row r="643" spans="4:19" ht="25.5" customHeight="1">
      <c r="D643" s="35"/>
      <c r="E643" s="35"/>
      <c r="F643" s="35"/>
      <c r="G643" s="35"/>
      <c r="H643" s="35"/>
      <c r="L643" s="35"/>
      <c r="O643" s="32"/>
      <c r="Q643" s="223"/>
      <c r="R643" s="223"/>
      <c r="S643" s="223"/>
    </row>
    <row r="644" spans="4:19" ht="25.5" customHeight="1">
      <c r="D644" s="35"/>
      <c r="E644" s="35"/>
      <c r="F644" s="35"/>
      <c r="G644" s="35"/>
      <c r="H644" s="35"/>
      <c r="L644" s="35"/>
      <c r="O644" s="32"/>
      <c r="Q644" s="223"/>
      <c r="R644" s="223"/>
      <c r="S644" s="223"/>
    </row>
    <row r="645" spans="4:19" ht="25.5" customHeight="1">
      <c r="D645" s="35"/>
      <c r="E645" s="35"/>
      <c r="F645" s="35"/>
      <c r="G645" s="35"/>
      <c r="H645" s="35"/>
      <c r="L645" s="35"/>
      <c r="O645" s="32"/>
      <c r="Q645" s="223"/>
      <c r="R645" s="223"/>
      <c r="S645" s="223"/>
    </row>
    <row r="646" spans="4:19" ht="25.5" customHeight="1">
      <c r="D646" s="35"/>
      <c r="E646" s="35"/>
      <c r="F646" s="35"/>
      <c r="G646" s="35"/>
      <c r="H646" s="35"/>
      <c r="L646" s="35"/>
      <c r="O646" s="32"/>
      <c r="Q646" s="223"/>
      <c r="R646" s="223"/>
      <c r="S646" s="223"/>
    </row>
    <row r="647" spans="4:19" ht="25.5" customHeight="1">
      <c r="D647" s="35"/>
      <c r="E647" s="35"/>
      <c r="F647" s="35"/>
      <c r="G647" s="35"/>
      <c r="H647" s="35"/>
      <c r="L647" s="35"/>
      <c r="O647" s="32"/>
      <c r="Q647" s="223"/>
      <c r="R647" s="223"/>
      <c r="S647" s="223"/>
    </row>
    <row r="648" spans="4:19" ht="25.5" customHeight="1">
      <c r="D648" s="35"/>
      <c r="E648" s="35"/>
      <c r="F648" s="35"/>
      <c r="G648" s="35"/>
      <c r="H648" s="35"/>
      <c r="L648" s="35"/>
      <c r="O648" s="32"/>
      <c r="Q648" s="223"/>
      <c r="R648" s="223"/>
      <c r="S648" s="223"/>
    </row>
    <row r="649" spans="4:19" ht="25.5" customHeight="1">
      <c r="D649" s="35"/>
      <c r="E649" s="35"/>
      <c r="F649" s="35"/>
      <c r="G649" s="35"/>
      <c r="H649" s="35"/>
      <c r="L649" s="35"/>
      <c r="O649" s="32"/>
      <c r="Q649" s="223"/>
      <c r="R649" s="223"/>
      <c r="S649" s="223"/>
    </row>
    <row r="650" spans="4:19" ht="25.5" customHeight="1">
      <c r="D650" s="35"/>
      <c r="E650" s="35"/>
      <c r="F650" s="35"/>
      <c r="G650" s="35"/>
      <c r="H650" s="35"/>
      <c r="L650" s="35"/>
      <c r="O650" s="32"/>
      <c r="Q650" s="223"/>
      <c r="R650" s="223"/>
      <c r="S650" s="223"/>
    </row>
    <row r="651" spans="4:19" ht="25.5" customHeight="1">
      <c r="D651" s="35"/>
      <c r="E651" s="35"/>
      <c r="F651" s="35"/>
      <c r="G651" s="35"/>
      <c r="H651" s="35"/>
      <c r="L651" s="35"/>
      <c r="O651" s="32"/>
      <c r="Q651" s="223"/>
      <c r="R651" s="223"/>
      <c r="S651" s="223"/>
    </row>
    <row r="652" spans="4:19" ht="25.5" customHeight="1">
      <c r="D652" s="35"/>
      <c r="E652" s="35"/>
      <c r="F652" s="35"/>
      <c r="G652" s="35"/>
      <c r="H652" s="35"/>
      <c r="L652" s="35"/>
      <c r="O652" s="32"/>
      <c r="Q652" s="223"/>
      <c r="R652" s="223"/>
      <c r="S652" s="223"/>
    </row>
    <row r="653" spans="4:19" ht="25.5" customHeight="1">
      <c r="D653" s="35"/>
      <c r="E653" s="35"/>
      <c r="F653" s="35"/>
      <c r="G653" s="35"/>
      <c r="H653" s="35"/>
      <c r="L653" s="35"/>
      <c r="O653" s="32"/>
      <c r="Q653" s="223"/>
      <c r="R653" s="223"/>
      <c r="S653" s="223"/>
    </row>
    <row r="654" spans="4:19" ht="25.5" customHeight="1">
      <c r="D654" s="35"/>
      <c r="E654" s="35"/>
      <c r="F654" s="35"/>
      <c r="G654" s="35"/>
      <c r="H654" s="35"/>
      <c r="L654" s="35"/>
      <c r="O654" s="32"/>
      <c r="Q654" s="223"/>
      <c r="R654" s="223"/>
      <c r="S654" s="223"/>
    </row>
    <row r="655" spans="4:19" ht="25.5" customHeight="1">
      <c r="D655" s="35"/>
      <c r="E655" s="35"/>
      <c r="F655" s="35"/>
      <c r="G655" s="35"/>
      <c r="H655" s="35"/>
      <c r="L655" s="35"/>
      <c r="O655" s="32"/>
      <c r="Q655" s="223"/>
      <c r="R655" s="223"/>
      <c r="S655" s="223"/>
    </row>
    <row r="656" spans="4:19" ht="25.5" customHeight="1">
      <c r="D656" s="35"/>
      <c r="E656" s="35"/>
      <c r="F656" s="35"/>
      <c r="G656" s="35"/>
      <c r="H656" s="35"/>
      <c r="L656" s="35"/>
      <c r="O656" s="32"/>
      <c r="Q656" s="223"/>
      <c r="R656" s="223"/>
      <c r="S656" s="223"/>
    </row>
    <row r="657" spans="4:19" ht="25.5" customHeight="1">
      <c r="D657" s="35"/>
      <c r="E657" s="35"/>
      <c r="F657" s="35"/>
      <c r="G657" s="35"/>
      <c r="H657" s="35"/>
      <c r="L657" s="35"/>
      <c r="O657" s="32"/>
      <c r="Q657" s="223"/>
      <c r="R657" s="223"/>
      <c r="S657" s="223"/>
    </row>
    <row r="658" spans="4:19" ht="25.5" customHeight="1">
      <c r="D658" s="35"/>
      <c r="E658" s="35"/>
      <c r="F658" s="35"/>
      <c r="G658" s="35"/>
      <c r="H658" s="35"/>
      <c r="L658" s="35"/>
      <c r="O658" s="32"/>
      <c r="Q658" s="223"/>
      <c r="R658" s="223"/>
      <c r="S658" s="223"/>
    </row>
    <row r="659" spans="4:19" ht="25.5" customHeight="1">
      <c r="D659" s="35"/>
      <c r="E659" s="35"/>
      <c r="F659" s="35"/>
      <c r="G659" s="35"/>
      <c r="H659" s="35"/>
      <c r="L659" s="35"/>
      <c r="O659" s="32"/>
      <c r="Q659" s="223"/>
      <c r="R659" s="223"/>
      <c r="S659" s="223"/>
    </row>
    <row r="660" spans="4:19" ht="25.5" customHeight="1">
      <c r="D660" s="35"/>
      <c r="E660" s="35"/>
      <c r="F660" s="35"/>
      <c r="G660" s="35"/>
      <c r="H660" s="35"/>
      <c r="L660" s="35"/>
      <c r="O660" s="32"/>
      <c r="Q660" s="223"/>
      <c r="R660" s="223"/>
      <c r="S660" s="223"/>
    </row>
    <row r="661" spans="4:19" ht="25.5" customHeight="1">
      <c r="D661" s="35"/>
      <c r="E661" s="35"/>
      <c r="F661" s="35"/>
      <c r="G661" s="35"/>
      <c r="H661" s="35"/>
      <c r="L661" s="35"/>
      <c r="O661" s="32"/>
      <c r="Q661" s="223"/>
      <c r="R661" s="223"/>
      <c r="S661" s="223"/>
    </row>
    <row r="662" spans="4:19" ht="25.5" customHeight="1">
      <c r="D662" s="35"/>
      <c r="E662" s="35"/>
      <c r="F662" s="35"/>
      <c r="G662" s="35"/>
      <c r="H662" s="35"/>
      <c r="L662" s="35"/>
      <c r="O662" s="32"/>
      <c r="Q662" s="223"/>
      <c r="R662" s="223"/>
      <c r="S662" s="223"/>
    </row>
    <row r="663" spans="4:19" ht="25.5" customHeight="1">
      <c r="D663" s="35"/>
      <c r="E663" s="35"/>
      <c r="F663" s="35"/>
      <c r="G663" s="35"/>
      <c r="H663" s="35"/>
      <c r="L663" s="35"/>
      <c r="O663" s="32"/>
      <c r="Q663" s="223"/>
      <c r="R663" s="223"/>
      <c r="S663" s="223"/>
    </row>
    <row r="664" spans="4:19" ht="25.5" customHeight="1">
      <c r="D664" s="35"/>
      <c r="E664" s="35"/>
      <c r="F664" s="35"/>
      <c r="G664" s="35"/>
      <c r="H664" s="35"/>
      <c r="L664" s="35"/>
      <c r="O664" s="32"/>
      <c r="Q664" s="223"/>
      <c r="R664" s="223"/>
      <c r="S664" s="223"/>
    </row>
    <row r="665" spans="4:19" ht="25.5" customHeight="1">
      <c r="D665" s="35"/>
      <c r="E665" s="35"/>
      <c r="F665" s="35"/>
      <c r="G665" s="35"/>
      <c r="H665" s="35"/>
      <c r="L665" s="35"/>
      <c r="O665" s="32"/>
      <c r="Q665" s="223"/>
      <c r="R665" s="223"/>
      <c r="S665" s="223"/>
    </row>
    <row r="666" spans="4:19" ht="25.5" customHeight="1">
      <c r="D666" s="35"/>
      <c r="E666" s="35"/>
      <c r="F666" s="35"/>
      <c r="G666" s="35"/>
      <c r="H666" s="35"/>
      <c r="L666" s="35"/>
      <c r="O666" s="32"/>
      <c r="Q666" s="223"/>
      <c r="R666" s="223"/>
      <c r="S666" s="223"/>
    </row>
    <row r="667" spans="4:19" ht="25.5" customHeight="1">
      <c r="D667" s="35"/>
      <c r="E667" s="35"/>
      <c r="F667" s="35"/>
      <c r="G667" s="35"/>
      <c r="H667" s="35"/>
      <c r="L667" s="35"/>
      <c r="O667" s="32"/>
      <c r="Q667" s="223"/>
      <c r="R667" s="223"/>
      <c r="S667" s="223"/>
    </row>
    <row r="668" spans="4:19" ht="25.5" customHeight="1">
      <c r="D668" s="35"/>
      <c r="E668" s="35"/>
      <c r="F668" s="35"/>
      <c r="G668" s="35"/>
      <c r="H668" s="35"/>
      <c r="L668" s="35"/>
      <c r="O668" s="32"/>
      <c r="Q668" s="223"/>
      <c r="R668" s="223"/>
      <c r="S668" s="223"/>
    </row>
    <row r="669" spans="4:19" ht="25.5" customHeight="1">
      <c r="D669" s="35"/>
      <c r="E669" s="35"/>
      <c r="F669" s="35"/>
      <c r="G669" s="35"/>
      <c r="H669" s="35"/>
      <c r="L669" s="35"/>
      <c r="O669" s="32"/>
      <c r="Q669" s="223"/>
      <c r="R669" s="223"/>
      <c r="S669" s="223"/>
    </row>
    <row r="670" spans="4:19" ht="25.5" customHeight="1">
      <c r="D670" s="35"/>
      <c r="E670" s="35"/>
      <c r="F670" s="35"/>
      <c r="G670" s="35"/>
      <c r="H670" s="35"/>
      <c r="L670" s="35"/>
      <c r="O670" s="32"/>
      <c r="Q670" s="223"/>
      <c r="R670" s="223"/>
      <c r="S670" s="223"/>
    </row>
    <row r="671" spans="4:19" ht="25.5" customHeight="1">
      <c r="D671" s="35"/>
      <c r="E671" s="35"/>
      <c r="F671" s="35"/>
      <c r="G671" s="35"/>
      <c r="H671" s="35"/>
      <c r="L671" s="35"/>
      <c r="O671" s="32"/>
      <c r="Q671" s="223"/>
      <c r="R671" s="223"/>
      <c r="S671" s="223"/>
    </row>
    <row r="672" spans="4:19" ht="25.5" customHeight="1">
      <c r="D672" s="35"/>
      <c r="E672" s="35"/>
      <c r="F672" s="35"/>
      <c r="G672" s="35"/>
      <c r="H672" s="35"/>
      <c r="L672" s="35"/>
      <c r="O672" s="32"/>
      <c r="Q672" s="223"/>
      <c r="R672" s="223"/>
      <c r="S672" s="223"/>
    </row>
    <row r="673" spans="4:19" ht="25.5" customHeight="1">
      <c r="D673" s="35"/>
      <c r="E673" s="35"/>
      <c r="F673" s="35"/>
      <c r="G673" s="35"/>
      <c r="H673" s="35"/>
      <c r="L673" s="35"/>
      <c r="O673" s="32"/>
      <c r="Q673" s="223"/>
      <c r="R673" s="223"/>
      <c r="S673" s="223"/>
    </row>
    <row r="674" spans="4:19" ht="25.5" customHeight="1">
      <c r="D674" s="35"/>
      <c r="E674" s="35"/>
      <c r="F674" s="35"/>
      <c r="G674" s="35"/>
      <c r="H674" s="35"/>
      <c r="L674" s="35"/>
      <c r="O674" s="32"/>
      <c r="Q674" s="223"/>
      <c r="R674" s="223"/>
      <c r="S674" s="223"/>
    </row>
    <row r="675" spans="4:19" ht="25.5" customHeight="1">
      <c r="D675" s="35"/>
      <c r="E675" s="35"/>
      <c r="F675" s="35"/>
      <c r="G675" s="35"/>
      <c r="H675" s="35"/>
      <c r="L675" s="35"/>
      <c r="O675" s="32"/>
      <c r="Q675" s="223"/>
      <c r="R675" s="223"/>
      <c r="S675" s="223"/>
    </row>
    <row r="676" spans="4:19" ht="25.5" customHeight="1">
      <c r="D676" s="35"/>
      <c r="E676" s="35"/>
      <c r="F676" s="35"/>
      <c r="G676" s="35"/>
      <c r="H676" s="35"/>
      <c r="L676" s="35"/>
      <c r="O676" s="32"/>
      <c r="Q676" s="223"/>
      <c r="R676" s="223"/>
      <c r="S676" s="223"/>
    </row>
    <row r="677" spans="4:19" ht="25.5" customHeight="1">
      <c r="D677" s="35"/>
      <c r="E677" s="35"/>
      <c r="F677" s="35"/>
      <c r="G677" s="35"/>
      <c r="H677" s="35"/>
      <c r="L677" s="35"/>
      <c r="O677" s="32"/>
      <c r="Q677" s="223"/>
      <c r="R677" s="223"/>
      <c r="S677" s="223"/>
    </row>
    <row r="678" spans="4:19" ht="25.5" customHeight="1">
      <c r="D678" s="35"/>
      <c r="E678" s="35"/>
      <c r="F678" s="35"/>
      <c r="G678" s="35"/>
      <c r="H678" s="35"/>
      <c r="L678" s="35"/>
      <c r="O678" s="32"/>
      <c r="Q678" s="223"/>
      <c r="R678" s="223"/>
      <c r="S678" s="223"/>
    </row>
    <row r="679" spans="4:19" ht="25.5" customHeight="1">
      <c r="D679" s="35"/>
      <c r="E679" s="35"/>
      <c r="F679" s="35"/>
      <c r="G679" s="35"/>
      <c r="H679" s="35"/>
      <c r="L679" s="35"/>
      <c r="O679" s="32"/>
      <c r="Q679" s="223"/>
      <c r="R679" s="223"/>
      <c r="S679" s="223"/>
    </row>
    <row r="680" spans="4:19" ht="25.5" customHeight="1">
      <c r="D680" s="35"/>
      <c r="E680" s="35"/>
      <c r="F680" s="35"/>
      <c r="G680" s="35"/>
      <c r="H680" s="35"/>
      <c r="L680" s="35"/>
      <c r="O680" s="32"/>
      <c r="Q680" s="223"/>
      <c r="R680" s="223"/>
      <c r="S680" s="223"/>
    </row>
    <row r="681" spans="4:19" ht="25.5" customHeight="1">
      <c r="D681" s="35"/>
      <c r="E681" s="35"/>
      <c r="F681" s="35"/>
      <c r="G681" s="35"/>
      <c r="H681" s="35"/>
      <c r="L681" s="35"/>
      <c r="O681" s="32"/>
      <c r="Q681" s="223"/>
      <c r="R681" s="223"/>
      <c r="S681" s="223"/>
    </row>
    <row r="682" spans="4:19" ht="25.5" customHeight="1">
      <c r="D682" s="35"/>
      <c r="E682" s="35"/>
      <c r="F682" s="35"/>
      <c r="G682" s="35"/>
      <c r="H682" s="35"/>
      <c r="L682" s="35"/>
      <c r="O682" s="32"/>
      <c r="Q682" s="223"/>
      <c r="R682" s="223"/>
      <c r="S682" s="223"/>
    </row>
    <row r="683" spans="4:19" ht="25.5" customHeight="1">
      <c r="D683" s="35"/>
      <c r="E683" s="35"/>
      <c r="F683" s="35"/>
      <c r="G683" s="35"/>
      <c r="H683" s="35"/>
      <c r="L683" s="35"/>
      <c r="O683" s="32"/>
      <c r="Q683" s="223"/>
      <c r="R683" s="223"/>
      <c r="S683" s="223"/>
    </row>
    <row r="684" spans="4:19" ht="25.5" customHeight="1">
      <c r="D684" s="35"/>
      <c r="E684" s="35"/>
      <c r="F684" s="35"/>
      <c r="G684" s="35"/>
      <c r="H684" s="35"/>
      <c r="L684" s="35"/>
      <c r="O684" s="32"/>
      <c r="Q684" s="223"/>
      <c r="R684" s="223"/>
      <c r="S684" s="223"/>
    </row>
    <row r="685" spans="4:19" ht="25.5" customHeight="1">
      <c r="D685" s="35"/>
      <c r="E685" s="35"/>
      <c r="F685" s="35"/>
      <c r="G685" s="35"/>
      <c r="H685" s="35"/>
      <c r="L685" s="35"/>
      <c r="O685" s="32"/>
      <c r="Q685" s="223"/>
      <c r="R685" s="223"/>
      <c r="S685" s="223"/>
    </row>
    <row r="686" spans="4:19" ht="25.5" customHeight="1">
      <c r="D686" s="35"/>
      <c r="E686" s="35"/>
      <c r="F686" s="35"/>
      <c r="G686" s="35"/>
      <c r="H686" s="35"/>
      <c r="L686" s="35"/>
      <c r="O686" s="32"/>
      <c r="Q686" s="223"/>
      <c r="R686" s="223"/>
      <c r="S686" s="223"/>
    </row>
    <row r="687" spans="4:19" ht="25.5" customHeight="1">
      <c r="D687" s="35"/>
      <c r="E687" s="35"/>
      <c r="F687" s="35"/>
      <c r="G687" s="35"/>
      <c r="H687" s="35"/>
      <c r="L687" s="35"/>
      <c r="O687" s="32"/>
      <c r="Q687" s="223"/>
      <c r="R687" s="223"/>
      <c r="S687" s="223"/>
    </row>
    <row r="688" spans="4:19" ht="25.5" customHeight="1">
      <c r="D688" s="35"/>
      <c r="E688" s="35"/>
      <c r="F688" s="35"/>
      <c r="G688" s="35"/>
      <c r="H688" s="35"/>
      <c r="L688" s="35"/>
      <c r="O688" s="32"/>
      <c r="Q688" s="223"/>
      <c r="R688" s="223"/>
      <c r="S688" s="223"/>
    </row>
    <row r="689" spans="4:19" ht="25.5" customHeight="1">
      <c r="D689" s="35"/>
      <c r="E689" s="35"/>
      <c r="F689" s="35"/>
      <c r="G689" s="35"/>
      <c r="H689" s="35"/>
      <c r="L689" s="35"/>
      <c r="O689" s="32"/>
      <c r="Q689" s="223"/>
      <c r="R689" s="223"/>
      <c r="S689" s="223"/>
    </row>
    <row r="690" spans="4:19" ht="25.5" customHeight="1">
      <c r="D690" s="35"/>
      <c r="E690" s="35"/>
      <c r="F690" s="35"/>
      <c r="G690" s="35"/>
      <c r="H690" s="35"/>
      <c r="L690" s="35"/>
      <c r="O690" s="32"/>
      <c r="Q690" s="223"/>
      <c r="R690" s="223"/>
      <c r="S690" s="223"/>
    </row>
    <row r="691" spans="4:19" ht="25.5" customHeight="1">
      <c r="D691" s="35"/>
      <c r="E691" s="35"/>
      <c r="F691" s="35"/>
      <c r="G691" s="35"/>
      <c r="H691" s="35"/>
      <c r="L691" s="35"/>
      <c r="O691" s="32"/>
      <c r="Q691" s="223"/>
      <c r="R691" s="223"/>
      <c r="S691" s="223"/>
    </row>
    <row r="692" spans="4:19" ht="25.5" customHeight="1">
      <c r="D692" s="35"/>
      <c r="E692" s="35"/>
      <c r="F692" s="35"/>
      <c r="G692" s="35"/>
      <c r="H692" s="35"/>
      <c r="L692" s="35"/>
      <c r="O692" s="32"/>
      <c r="Q692" s="223"/>
      <c r="R692" s="223"/>
      <c r="S692" s="223"/>
    </row>
    <row r="693" spans="4:19" ht="25.5" customHeight="1">
      <c r="D693" s="35"/>
      <c r="E693" s="35"/>
      <c r="F693" s="35"/>
      <c r="G693" s="35"/>
      <c r="H693" s="35"/>
      <c r="L693" s="35"/>
      <c r="O693" s="32"/>
      <c r="Q693" s="223"/>
      <c r="R693" s="223"/>
      <c r="S693" s="223"/>
    </row>
    <row r="694" spans="4:19" ht="25.5" customHeight="1">
      <c r="D694" s="35"/>
      <c r="E694" s="35"/>
      <c r="F694" s="35"/>
      <c r="G694" s="35"/>
      <c r="H694" s="35"/>
      <c r="L694" s="35"/>
      <c r="O694" s="32"/>
      <c r="Q694" s="223"/>
      <c r="R694" s="223"/>
      <c r="S694" s="223"/>
    </row>
    <row r="695" spans="4:19" ht="25.5" customHeight="1">
      <c r="D695" s="35"/>
      <c r="E695" s="35"/>
      <c r="F695" s="35"/>
      <c r="G695" s="35"/>
      <c r="H695" s="35"/>
      <c r="L695" s="35"/>
      <c r="O695" s="32"/>
      <c r="Q695" s="223"/>
      <c r="R695" s="223"/>
      <c r="S695" s="223"/>
    </row>
    <row r="696" spans="4:19" ht="25.5" customHeight="1">
      <c r="D696" s="35"/>
      <c r="E696" s="35"/>
      <c r="F696" s="35"/>
      <c r="G696" s="35"/>
      <c r="H696" s="35"/>
      <c r="L696" s="35"/>
      <c r="O696" s="32"/>
      <c r="Q696" s="223"/>
      <c r="R696" s="223"/>
      <c r="S696" s="223"/>
    </row>
    <row r="697" spans="4:19" ht="25.5" customHeight="1">
      <c r="D697" s="35"/>
      <c r="E697" s="35"/>
      <c r="F697" s="35"/>
      <c r="G697" s="35"/>
      <c r="H697" s="35"/>
      <c r="L697" s="35"/>
      <c r="O697" s="32"/>
      <c r="Q697" s="223"/>
      <c r="R697" s="223"/>
      <c r="S697" s="223"/>
    </row>
    <row r="698" spans="4:19" ht="25.5" customHeight="1">
      <c r="D698" s="35"/>
      <c r="E698" s="35"/>
      <c r="F698" s="35"/>
      <c r="G698" s="35"/>
      <c r="H698" s="35"/>
      <c r="L698" s="35"/>
      <c r="O698" s="32"/>
      <c r="Q698" s="223"/>
      <c r="R698" s="223"/>
      <c r="S698" s="223"/>
    </row>
    <row r="699" spans="4:19" ht="25.5" customHeight="1">
      <c r="D699" s="35"/>
      <c r="E699" s="35"/>
      <c r="F699" s="35"/>
      <c r="G699" s="35"/>
      <c r="H699" s="35"/>
      <c r="L699" s="35"/>
      <c r="O699" s="32"/>
      <c r="Q699" s="223"/>
      <c r="R699" s="223"/>
      <c r="S699" s="223"/>
    </row>
    <row r="700" spans="4:19" ht="25.5" customHeight="1">
      <c r="D700" s="35"/>
      <c r="E700" s="35"/>
      <c r="F700" s="35"/>
      <c r="G700" s="35"/>
      <c r="H700" s="35"/>
      <c r="L700" s="35"/>
      <c r="O700" s="32"/>
      <c r="Q700" s="223"/>
      <c r="R700" s="223"/>
      <c r="S700" s="223"/>
    </row>
    <row r="701" spans="4:19" ht="25.5" customHeight="1">
      <c r="D701" s="35"/>
      <c r="E701" s="35"/>
      <c r="F701" s="35"/>
      <c r="G701" s="35"/>
      <c r="H701" s="35"/>
      <c r="L701" s="35"/>
      <c r="O701" s="32"/>
      <c r="Q701" s="223"/>
      <c r="R701" s="223"/>
      <c r="S701" s="223"/>
    </row>
    <row r="702" spans="4:19" ht="25.5" customHeight="1">
      <c r="D702" s="35"/>
      <c r="E702" s="35"/>
      <c r="F702" s="35"/>
      <c r="G702" s="35"/>
      <c r="H702" s="35"/>
      <c r="L702" s="35"/>
      <c r="O702" s="32"/>
      <c r="Q702" s="223"/>
      <c r="R702" s="223"/>
      <c r="S702" s="223"/>
    </row>
    <row r="703" spans="4:19" ht="25.5" customHeight="1">
      <c r="D703" s="35"/>
      <c r="E703" s="35"/>
      <c r="F703" s="35"/>
      <c r="G703" s="35"/>
      <c r="H703" s="35"/>
      <c r="L703" s="35"/>
      <c r="O703" s="32"/>
      <c r="Q703" s="223"/>
      <c r="R703" s="223"/>
      <c r="S703" s="223"/>
    </row>
    <row r="704" spans="4:19" ht="25.5" customHeight="1">
      <c r="D704" s="35"/>
      <c r="E704" s="35"/>
      <c r="F704" s="35"/>
      <c r="G704" s="35"/>
      <c r="H704" s="35"/>
      <c r="L704" s="35"/>
      <c r="O704" s="32"/>
      <c r="Q704" s="223"/>
      <c r="R704" s="223"/>
      <c r="S704" s="223"/>
    </row>
    <row r="705" spans="4:19" ht="25.5" customHeight="1">
      <c r="D705" s="35"/>
      <c r="E705" s="35"/>
      <c r="F705" s="35"/>
      <c r="G705" s="35"/>
      <c r="H705" s="35"/>
      <c r="L705" s="35"/>
      <c r="O705" s="32"/>
      <c r="Q705" s="223"/>
      <c r="R705" s="223"/>
      <c r="S705" s="223"/>
    </row>
    <row r="706" spans="4:19" ht="25.5" customHeight="1">
      <c r="D706" s="35"/>
      <c r="E706" s="35"/>
      <c r="F706" s="35"/>
      <c r="G706" s="35"/>
      <c r="H706" s="35"/>
      <c r="L706" s="35"/>
      <c r="O706" s="32"/>
      <c r="Q706" s="223"/>
      <c r="R706" s="223"/>
      <c r="S706" s="223"/>
    </row>
    <row r="707" spans="4:19" ht="25.5" customHeight="1">
      <c r="D707" s="35"/>
      <c r="E707" s="35"/>
      <c r="F707" s="35"/>
      <c r="G707" s="35"/>
      <c r="H707" s="35"/>
      <c r="L707" s="35"/>
      <c r="O707" s="32"/>
      <c r="Q707" s="223"/>
      <c r="R707" s="223"/>
      <c r="S707" s="223"/>
    </row>
    <row r="708" spans="4:19" ht="25.5" customHeight="1">
      <c r="D708" s="35"/>
      <c r="E708" s="35"/>
      <c r="F708" s="35"/>
      <c r="G708" s="35"/>
      <c r="H708" s="35"/>
      <c r="L708" s="35"/>
      <c r="O708" s="32"/>
      <c r="Q708" s="223"/>
      <c r="R708" s="223"/>
      <c r="S708" s="223"/>
    </row>
    <row r="709" spans="4:19" ht="25.5" customHeight="1">
      <c r="D709" s="35"/>
      <c r="E709" s="35"/>
      <c r="F709" s="35"/>
      <c r="G709" s="35"/>
      <c r="H709" s="35"/>
      <c r="L709" s="35"/>
      <c r="O709" s="32"/>
      <c r="Q709" s="223"/>
      <c r="R709" s="223"/>
      <c r="S709" s="223"/>
    </row>
    <row r="710" spans="4:19" ht="25.5" customHeight="1">
      <c r="D710" s="35"/>
      <c r="E710" s="35"/>
      <c r="F710" s="35"/>
      <c r="G710" s="35"/>
      <c r="H710" s="35"/>
      <c r="L710" s="35"/>
      <c r="O710" s="32"/>
      <c r="Q710" s="223"/>
      <c r="R710" s="223"/>
      <c r="S710" s="223"/>
    </row>
    <row r="711" spans="4:19" ht="25.5" customHeight="1">
      <c r="D711" s="35"/>
      <c r="E711" s="35"/>
      <c r="F711" s="35"/>
      <c r="G711" s="35"/>
      <c r="H711" s="35"/>
      <c r="L711" s="35"/>
      <c r="O711" s="32"/>
      <c r="Q711" s="223"/>
      <c r="R711" s="223"/>
      <c r="S711" s="223"/>
    </row>
    <row r="712" spans="4:19" ht="25.5" customHeight="1">
      <c r="D712" s="35"/>
      <c r="E712" s="35"/>
      <c r="F712" s="35"/>
      <c r="G712" s="35"/>
      <c r="H712" s="35"/>
      <c r="L712" s="35"/>
      <c r="O712" s="32"/>
      <c r="Q712" s="223"/>
      <c r="R712" s="223"/>
      <c r="S712" s="223"/>
    </row>
    <row r="713" spans="4:19" ht="25.5" customHeight="1">
      <c r="D713" s="35"/>
      <c r="E713" s="35"/>
      <c r="F713" s="35"/>
      <c r="G713" s="35"/>
      <c r="H713" s="35"/>
      <c r="L713" s="35"/>
      <c r="O713" s="32"/>
      <c r="Q713" s="223"/>
      <c r="R713" s="223"/>
      <c r="S713" s="223"/>
    </row>
    <row r="714" spans="4:19" ht="25.5" customHeight="1">
      <c r="D714" s="35"/>
      <c r="E714" s="35"/>
      <c r="F714" s="35"/>
      <c r="G714" s="35"/>
      <c r="H714" s="35"/>
      <c r="L714" s="35"/>
      <c r="O714" s="32"/>
      <c r="Q714" s="223"/>
      <c r="R714" s="223"/>
      <c r="S714" s="223"/>
    </row>
    <row r="715" spans="4:19" ht="25.5" customHeight="1">
      <c r="D715" s="35"/>
      <c r="E715" s="35"/>
      <c r="F715" s="35"/>
      <c r="G715" s="35"/>
      <c r="H715" s="35"/>
      <c r="L715" s="35"/>
      <c r="O715" s="32"/>
      <c r="Q715" s="223"/>
      <c r="R715" s="223"/>
      <c r="S715" s="223"/>
    </row>
    <row r="716" spans="4:19" ht="25.5" customHeight="1">
      <c r="D716" s="35"/>
      <c r="E716" s="35"/>
      <c r="F716" s="35"/>
      <c r="G716" s="35"/>
      <c r="H716" s="35"/>
      <c r="L716" s="35"/>
      <c r="O716" s="32"/>
      <c r="Q716" s="223"/>
      <c r="R716" s="223"/>
      <c r="S716" s="223"/>
    </row>
    <row r="717" spans="4:19" ht="25.5" customHeight="1">
      <c r="D717" s="35"/>
      <c r="E717" s="35"/>
      <c r="F717" s="35"/>
      <c r="G717" s="35"/>
      <c r="H717" s="35"/>
      <c r="L717" s="35"/>
      <c r="O717" s="32"/>
      <c r="Q717" s="223"/>
      <c r="R717" s="223"/>
      <c r="S717" s="223"/>
    </row>
    <row r="718" spans="4:19" ht="25.5" customHeight="1">
      <c r="D718" s="35"/>
      <c r="E718" s="35"/>
      <c r="F718" s="35"/>
      <c r="G718" s="35"/>
      <c r="H718" s="35"/>
      <c r="L718" s="35"/>
      <c r="O718" s="32"/>
      <c r="Q718" s="223"/>
      <c r="R718" s="223"/>
      <c r="S718" s="223"/>
    </row>
    <row r="719" spans="4:19" ht="25.5" customHeight="1">
      <c r="D719" s="35"/>
      <c r="E719" s="35"/>
      <c r="F719" s="35"/>
      <c r="G719" s="35"/>
      <c r="H719" s="35"/>
      <c r="L719" s="35"/>
      <c r="O719" s="32"/>
      <c r="Q719" s="223"/>
      <c r="R719" s="223"/>
      <c r="S719" s="223"/>
    </row>
    <row r="720" spans="4:19" ht="25.5" customHeight="1">
      <c r="D720" s="35"/>
      <c r="E720" s="35"/>
      <c r="F720" s="35"/>
      <c r="G720" s="35"/>
      <c r="H720" s="35"/>
      <c r="L720" s="35"/>
      <c r="O720" s="32"/>
      <c r="Q720" s="223"/>
      <c r="R720" s="223"/>
      <c r="S720" s="223"/>
    </row>
    <row r="721" spans="4:19" ht="25.5" customHeight="1">
      <c r="D721" s="35"/>
      <c r="E721" s="35"/>
      <c r="F721" s="35"/>
      <c r="G721" s="35"/>
      <c r="H721" s="35"/>
      <c r="L721" s="35"/>
      <c r="O721" s="32"/>
      <c r="Q721" s="223"/>
      <c r="R721" s="223"/>
      <c r="S721" s="223"/>
    </row>
    <row r="722" spans="4:19" ht="25.5" customHeight="1">
      <c r="D722" s="35"/>
      <c r="E722" s="35"/>
      <c r="F722" s="35"/>
      <c r="G722" s="35"/>
      <c r="H722" s="35"/>
      <c r="L722" s="35"/>
      <c r="O722" s="32"/>
      <c r="Q722" s="223"/>
      <c r="R722" s="223"/>
      <c r="S722" s="223"/>
    </row>
    <row r="723" spans="4:19" ht="25.5" customHeight="1">
      <c r="D723" s="35"/>
      <c r="E723" s="35"/>
      <c r="F723" s="35"/>
      <c r="G723" s="35"/>
      <c r="H723" s="35"/>
      <c r="L723" s="35"/>
      <c r="O723" s="32"/>
      <c r="Q723" s="223"/>
      <c r="R723" s="223"/>
      <c r="S723" s="223"/>
    </row>
    <row r="724" spans="4:19" ht="25.5" customHeight="1">
      <c r="D724" s="35"/>
      <c r="E724" s="35"/>
      <c r="F724" s="35"/>
      <c r="G724" s="35"/>
      <c r="H724" s="35"/>
      <c r="L724" s="35"/>
      <c r="O724" s="32"/>
      <c r="Q724" s="223"/>
      <c r="R724" s="223"/>
      <c r="S724" s="223"/>
    </row>
    <row r="725" spans="4:19" ht="25.5" customHeight="1">
      <c r="D725" s="35"/>
      <c r="E725" s="35"/>
      <c r="F725" s="35"/>
      <c r="G725" s="35"/>
      <c r="H725" s="35"/>
      <c r="L725" s="35"/>
      <c r="O725" s="32"/>
      <c r="Q725" s="223"/>
      <c r="R725" s="223"/>
      <c r="S725" s="223"/>
    </row>
    <row r="726" spans="4:19" ht="25.5" customHeight="1">
      <c r="D726" s="35"/>
      <c r="E726" s="35"/>
      <c r="F726" s="35"/>
      <c r="G726" s="35"/>
      <c r="H726" s="35"/>
      <c r="L726" s="35"/>
      <c r="O726" s="32"/>
      <c r="Q726" s="223"/>
      <c r="R726" s="223"/>
      <c r="S726" s="223"/>
    </row>
    <row r="727" spans="4:19" ht="25.5" customHeight="1">
      <c r="D727" s="35"/>
      <c r="E727" s="35"/>
      <c r="F727" s="35"/>
      <c r="G727" s="35"/>
      <c r="H727" s="35"/>
      <c r="L727" s="35"/>
      <c r="O727" s="32"/>
      <c r="Q727" s="223"/>
      <c r="R727" s="223"/>
      <c r="S727" s="223"/>
    </row>
    <row r="728" spans="4:19" ht="25.5" customHeight="1">
      <c r="D728" s="35"/>
      <c r="E728" s="35"/>
      <c r="F728" s="35"/>
      <c r="G728" s="35"/>
      <c r="H728" s="35"/>
      <c r="L728" s="35"/>
      <c r="O728" s="32"/>
      <c r="Q728" s="223"/>
      <c r="R728" s="223"/>
      <c r="S728" s="223"/>
    </row>
    <row r="729" spans="4:19" ht="25.5" customHeight="1">
      <c r="D729" s="35"/>
      <c r="E729" s="35"/>
      <c r="F729" s="35"/>
      <c r="G729" s="35"/>
      <c r="H729" s="35"/>
      <c r="L729" s="35"/>
      <c r="O729" s="32"/>
      <c r="Q729" s="223"/>
      <c r="R729" s="223"/>
      <c r="S729" s="223"/>
    </row>
    <row r="730" spans="4:19" ht="25.5" customHeight="1">
      <c r="D730" s="35"/>
      <c r="E730" s="35"/>
      <c r="F730" s="35"/>
      <c r="G730" s="35"/>
      <c r="H730" s="35"/>
      <c r="L730" s="35"/>
      <c r="O730" s="32"/>
      <c r="Q730" s="223"/>
      <c r="R730" s="223"/>
      <c r="S730" s="223"/>
    </row>
    <row r="731" spans="4:19" ht="25.5" customHeight="1">
      <c r="D731" s="35"/>
      <c r="E731" s="35"/>
      <c r="F731" s="35"/>
      <c r="G731" s="35"/>
      <c r="H731" s="35"/>
      <c r="L731" s="35"/>
      <c r="O731" s="32"/>
      <c r="Q731" s="223"/>
      <c r="R731" s="223"/>
      <c r="S731" s="223"/>
    </row>
    <row r="732" spans="4:19" ht="25.5" customHeight="1">
      <c r="D732" s="35"/>
      <c r="E732" s="35"/>
      <c r="F732" s="35"/>
      <c r="G732" s="35"/>
      <c r="H732" s="35"/>
      <c r="L732" s="35"/>
      <c r="O732" s="32"/>
      <c r="Q732" s="223"/>
      <c r="R732" s="223"/>
      <c r="S732" s="223"/>
    </row>
    <row r="733" spans="4:19" ht="25.5" customHeight="1">
      <c r="D733" s="35"/>
      <c r="E733" s="35"/>
      <c r="F733" s="35"/>
      <c r="G733" s="35"/>
      <c r="H733" s="35"/>
      <c r="L733" s="35"/>
      <c r="O733" s="32"/>
      <c r="Q733" s="223"/>
      <c r="R733" s="223"/>
      <c r="S733" s="223"/>
    </row>
    <row r="734" spans="4:19" ht="25.5" customHeight="1">
      <c r="D734" s="35"/>
      <c r="E734" s="35"/>
      <c r="F734" s="35"/>
      <c r="G734" s="35"/>
      <c r="H734" s="35"/>
      <c r="L734" s="35"/>
      <c r="O734" s="32"/>
      <c r="Q734" s="223"/>
      <c r="R734" s="223"/>
      <c r="S734" s="223"/>
    </row>
    <row r="735" spans="4:19" ht="25.5" customHeight="1">
      <c r="D735" s="35"/>
      <c r="E735" s="35"/>
      <c r="F735" s="35"/>
      <c r="G735" s="35"/>
      <c r="H735" s="35"/>
      <c r="L735" s="35"/>
      <c r="O735" s="32"/>
      <c r="Q735" s="223"/>
      <c r="R735" s="223"/>
      <c r="S735" s="223"/>
    </row>
    <row r="736" spans="4:19" ht="25.5" customHeight="1">
      <c r="D736" s="35"/>
      <c r="E736" s="35"/>
      <c r="F736" s="35"/>
      <c r="G736" s="35"/>
      <c r="H736" s="35"/>
      <c r="L736" s="35"/>
      <c r="O736" s="32"/>
      <c r="Q736" s="223"/>
      <c r="R736" s="223"/>
      <c r="S736" s="223"/>
    </row>
    <row r="737" spans="4:19" ht="25.5" customHeight="1">
      <c r="D737" s="35"/>
      <c r="E737" s="35"/>
      <c r="F737" s="35"/>
      <c r="G737" s="35"/>
      <c r="H737" s="35"/>
      <c r="L737" s="35"/>
      <c r="O737" s="32"/>
      <c r="Q737" s="223"/>
      <c r="R737" s="223"/>
      <c r="S737" s="223"/>
    </row>
    <row r="738" spans="4:19" ht="25.5" customHeight="1">
      <c r="D738" s="35"/>
      <c r="E738" s="35"/>
      <c r="F738" s="35"/>
      <c r="G738" s="35"/>
      <c r="H738" s="35"/>
      <c r="L738" s="35"/>
      <c r="O738" s="32"/>
      <c r="Q738" s="223"/>
      <c r="R738" s="223"/>
      <c r="S738" s="223"/>
    </row>
    <row r="739" spans="4:19" ht="25.5" customHeight="1">
      <c r="D739" s="35"/>
      <c r="E739" s="35"/>
      <c r="F739" s="35"/>
      <c r="G739" s="35"/>
      <c r="H739" s="35"/>
      <c r="L739" s="35"/>
      <c r="O739" s="32"/>
      <c r="Q739" s="223"/>
      <c r="R739" s="223"/>
      <c r="S739" s="223"/>
    </row>
    <row r="740" spans="4:19" ht="25.5" customHeight="1">
      <c r="D740" s="35"/>
      <c r="E740" s="35"/>
      <c r="F740" s="35"/>
      <c r="G740" s="35"/>
      <c r="H740" s="35"/>
      <c r="L740" s="35"/>
      <c r="O740" s="32"/>
      <c r="Q740" s="223"/>
      <c r="R740" s="223"/>
      <c r="S740" s="223"/>
    </row>
    <row r="741" spans="4:19" ht="25.5" customHeight="1">
      <c r="D741" s="35"/>
      <c r="E741" s="35"/>
      <c r="F741" s="35"/>
      <c r="G741" s="35"/>
      <c r="H741" s="35"/>
      <c r="L741" s="35"/>
      <c r="O741" s="32"/>
      <c r="Q741" s="223"/>
      <c r="R741" s="223"/>
      <c r="S741" s="223"/>
    </row>
    <row r="742" spans="4:19" ht="25.5" customHeight="1">
      <c r="D742" s="35"/>
      <c r="E742" s="35"/>
      <c r="F742" s="35"/>
      <c r="G742" s="35"/>
      <c r="H742" s="35"/>
      <c r="L742" s="35"/>
      <c r="O742" s="32"/>
      <c r="Q742" s="223"/>
      <c r="R742" s="223"/>
      <c r="S742" s="223"/>
    </row>
    <row r="743" spans="4:19" ht="25.5" customHeight="1">
      <c r="D743" s="35"/>
      <c r="E743" s="35"/>
      <c r="F743" s="35"/>
      <c r="G743" s="35"/>
      <c r="H743" s="35"/>
      <c r="L743" s="35"/>
      <c r="O743" s="32"/>
      <c r="Q743" s="223"/>
      <c r="R743" s="223"/>
      <c r="S743" s="223"/>
    </row>
    <row r="744" spans="4:19" ht="25.5" customHeight="1">
      <c r="D744" s="35"/>
      <c r="E744" s="35"/>
      <c r="F744" s="35"/>
      <c r="G744" s="35"/>
      <c r="H744" s="35"/>
      <c r="L744" s="35"/>
      <c r="O744" s="32"/>
      <c r="Q744" s="223"/>
      <c r="R744" s="223"/>
      <c r="S744" s="223"/>
    </row>
    <row r="745" spans="4:19" ht="25.5" customHeight="1">
      <c r="D745" s="35"/>
      <c r="E745" s="35"/>
      <c r="F745" s="35"/>
      <c r="G745" s="35"/>
      <c r="H745" s="35"/>
      <c r="L745" s="35"/>
      <c r="O745" s="32"/>
      <c r="Q745" s="223"/>
      <c r="R745" s="223"/>
      <c r="S745" s="223"/>
    </row>
    <row r="746" spans="4:19" ht="25.5" customHeight="1">
      <c r="D746" s="35"/>
      <c r="E746" s="35"/>
      <c r="F746" s="35"/>
      <c r="G746" s="35"/>
      <c r="H746" s="35"/>
      <c r="L746" s="35"/>
      <c r="O746" s="32"/>
      <c r="Q746" s="223"/>
      <c r="R746" s="223"/>
      <c r="S746" s="223"/>
    </row>
    <row r="747" spans="4:19" ht="25.5" customHeight="1">
      <c r="D747" s="35"/>
      <c r="E747" s="35"/>
      <c r="F747" s="35"/>
      <c r="G747" s="35"/>
      <c r="H747" s="35"/>
      <c r="L747" s="35"/>
      <c r="O747" s="32"/>
      <c r="Q747" s="223"/>
      <c r="R747" s="223"/>
      <c r="S747" s="223"/>
    </row>
    <row r="748" spans="4:19" ht="25.5" customHeight="1">
      <c r="D748" s="35"/>
      <c r="E748" s="35"/>
      <c r="F748" s="35"/>
      <c r="G748" s="35"/>
      <c r="H748" s="35"/>
      <c r="L748" s="35"/>
      <c r="O748" s="32"/>
      <c r="Q748" s="223"/>
      <c r="R748" s="223"/>
      <c r="S748" s="223"/>
    </row>
    <row r="749" spans="4:19" ht="25.5" customHeight="1">
      <c r="D749" s="35"/>
      <c r="E749" s="35"/>
      <c r="F749" s="35"/>
      <c r="G749" s="35"/>
      <c r="H749" s="35"/>
      <c r="L749" s="35"/>
      <c r="O749" s="32"/>
      <c r="Q749" s="223"/>
      <c r="R749" s="223"/>
      <c r="S749" s="223"/>
    </row>
    <row r="750" spans="4:19" ht="25.5" customHeight="1">
      <c r="D750" s="35"/>
      <c r="E750" s="35"/>
      <c r="F750" s="35"/>
      <c r="G750" s="35"/>
      <c r="H750" s="35"/>
      <c r="L750" s="35"/>
      <c r="O750" s="32"/>
      <c r="Q750" s="223"/>
      <c r="R750" s="223"/>
      <c r="S750" s="223"/>
    </row>
    <row r="751" spans="4:19" ht="25.5" customHeight="1">
      <c r="D751" s="35"/>
      <c r="E751" s="35"/>
      <c r="F751" s="35"/>
      <c r="G751" s="35"/>
      <c r="H751" s="35"/>
      <c r="L751" s="35"/>
      <c r="O751" s="32"/>
      <c r="Q751" s="223"/>
      <c r="R751" s="223"/>
      <c r="S751" s="223"/>
    </row>
    <row r="752" spans="4:19" ht="25.5" customHeight="1">
      <c r="D752" s="35"/>
      <c r="E752" s="35"/>
      <c r="F752" s="35"/>
      <c r="G752" s="35"/>
      <c r="H752" s="35"/>
      <c r="L752" s="35"/>
      <c r="O752" s="32"/>
      <c r="Q752" s="223"/>
      <c r="R752" s="223"/>
      <c r="S752" s="223"/>
    </row>
    <row r="753" spans="4:19" ht="25.5" customHeight="1">
      <c r="D753" s="35"/>
      <c r="E753" s="35"/>
      <c r="F753" s="35"/>
      <c r="G753" s="35"/>
      <c r="H753" s="35"/>
      <c r="L753" s="35"/>
      <c r="O753" s="32"/>
      <c r="Q753" s="223"/>
      <c r="R753" s="223"/>
      <c r="S753" s="223"/>
    </row>
    <row r="754" spans="4:19" ht="25.5" customHeight="1">
      <c r="D754" s="35"/>
      <c r="E754" s="35"/>
      <c r="F754" s="35"/>
      <c r="G754" s="35"/>
      <c r="H754" s="35"/>
      <c r="L754" s="35"/>
      <c r="O754" s="32"/>
      <c r="Q754" s="223"/>
      <c r="R754" s="223"/>
      <c r="S754" s="223"/>
    </row>
    <row r="755" spans="4:19" ht="25.5" customHeight="1">
      <c r="D755" s="35"/>
      <c r="E755" s="35"/>
      <c r="F755" s="35"/>
      <c r="G755" s="35"/>
      <c r="H755" s="35"/>
      <c r="L755" s="35"/>
      <c r="O755" s="32"/>
      <c r="Q755" s="223"/>
      <c r="R755" s="223"/>
      <c r="S755" s="223"/>
    </row>
    <row r="756" spans="4:19" ht="25.5" customHeight="1">
      <c r="D756" s="35"/>
      <c r="E756" s="35"/>
      <c r="F756" s="35"/>
      <c r="G756" s="35"/>
      <c r="H756" s="35"/>
      <c r="L756" s="35"/>
      <c r="O756" s="32"/>
      <c r="Q756" s="223"/>
      <c r="R756" s="223"/>
      <c r="S756" s="223"/>
    </row>
    <row r="757" spans="4:19" ht="25.5" customHeight="1">
      <c r="D757" s="35"/>
      <c r="E757" s="35"/>
      <c r="F757" s="35"/>
      <c r="G757" s="35"/>
      <c r="H757" s="35"/>
      <c r="L757" s="35"/>
      <c r="O757" s="32"/>
      <c r="Q757" s="223"/>
      <c r="R757" s="223"/>
      <c r="S757" s="223"/>
    </row>
    <row r="758" spans="4:19" ht="25.5" customHeight="1">
      <c r="D758" s="35"/>
      <c r="E758" s="35"/>
      <c r="F758" s="35"/>
      <c r="G758" s="35"/>
      <c r="H758" s="35"/>
      <c r="L758" s="35"/>
      <c r="O758" s="32"/>
      <c r="Q758" s="223"/>
      <c r="R758" s="223"/>
      <c r="S758" s="223"/>
    </row>
    <row r="759" spans="4:19" ht="25.5" customHeight="1">
      <c r="D759" s="35"/>
      <c r="E759" s="35"/>
      <c r="F759" s="35"/>
      <c r="G759" s="35"/>
      <c r="H759" s="35"/>
      <c r="L759" s="35"/>
      <c r="O759" s="32"/>
      <c r="Q759" s="223"/>
      <c r="R759" s="223"/>
      <c r="S759" s="223"/>
    </row>
    <row r="760" spans="4:19" ht="25.5" customHeight="1">
      <c r="D760" s="35"/>
      <c r="E760" s="35"/>
      <c r="F760" s="35"/>
      <c r="G760" s="35"/>
      <c r="H760" s="35"/>
      <c r="L760" s="35"/>
      <c r="O760" s="32"/>
      <c r="Q760" s="223"/>
      <c r="R760" s="223"/>
      <c r="S760" s="223"/>
    </row>
    <row r="761" spans="4:19" ht="25.5" customHeight="1">
      <c r="D761" s="35"/>
      <c r="E761" s="35"/>
      <c r="F761" s="35"/>
      <c r="G761" s="35"/>
      <c r="H761" s="35"/>
      <c r="L761" s="35"/>
      <c r="O761" s="32"/>
      <c r="Q761" s="223"/>
      <c r="R761" s="223"/>
      <c r="S761" s="223"/>
    </row>
    <row r="762" spans="4:19" ht="25.5" customHeight="1">
      <c r="D762" s="35"/>
      <c r="E762" s="35"/>
      <c r="F762" s="35"/>
      <c r="G762" s="35"/>
      <c r="H762" s="35"/>
      <c r="L762" s="35"/>
      <c r="O762" s="32"/>
      <c r="Q762" s="223"/>
      <c r="R762" s="223"/>
      <c r="S762" s="223"/>
    </row>
    <row r="763" spans="4:19" ht="25.5" customHeight="1">
      <c r="D763" s="35"/>
      <c r="E763" s="35"/>
      <c r="F763" s="35"/>
      <c r="G763" s="35"/>
      <c r="H763" s="35"/>
      <c r="L763" s="35"/>
      <c r="O763" s="32"/>
      <c r="Q763" s="223"/>
      <c r="R763" s="223"/>
      <c r="S763" s="223"/>
    </row>
    <row r="764" spans="4:19" ht="25.5" customHeight="1">
      <c r="D764" s="35"/>
      <c r="E764" s="35"/>
      <c r="F764" s="35"/>
      <c r="G764" s="35"/>
      <c r="H764" s="35"/>
      <c r="L764" s="35"/>
      <c r="O764" s="32"/>
      <c r="Q764" s="223"/>
      <c r="R764" s="223"/>
      <c r="S764" s="223"/>
    </row>
    <row r="765" spans="4:19" ht="25.5" customHeight="1">
      <c r="D765" s="35"/>
      <c r="E765" s="35"/>
      <c r="F765" s="35"/>
      <c r="G765" s="35"/>
      <c r="H765" s="35"/>
      <c r="L765" s="35"/>
      <c r="O765" s="32"/>
      <c r="Q765" s="223"/>
      <c r="R765" s="223"/>
      <c r="S765" s="223"/>
    </row>
    <row r="766" spans="4:19" ht="25.5" customHeight="1">
      <c r="D766" s="35"/>
      <c r="E766" s="35"/>
      <c r="F766" s="35"/>
      <c r="G766" s="35"/>
      <c r="H766" s="35"/>
      <c r="L766" s="35"/>
      <c r="O766" s="32"/>
      <c r="Q766" s="223"/>
      <c r="R766" s="223"/>
      <c r="S766" s="223"/>
    </row>
    <row r="767" spans="4:19" ht="25.5" customHeight="1">
      <c r="D767" s="35"/>
      <c r="E767" s="35"/>
      <c r="F767" s="35"/>
      <c r="G767" s="35"/>
      <c r="H767" s="35"/>
      <c r="L767" s="35"/>
      <c r="O767" s="32"/>
      <c r="Q767" s="223"/>
      <c r="R767" s="223"/>
      <c r="S767" s="223"/>
    </row>
    <row r="768" spans="4:19" ht="25.5" customHeight="1">
      <c r="D768" s="35"/>
      <c r="E768" s="35"/>
      <c r="F768" s="35"/>
      <c r="G768" s="35"/>
      <c r="H768" s="35"/>
      <c r="L768" s="35"/>
      <c r="O768" s="32"/>
      <c r="Q768" s="223"/>
      <c r="R768" s="223"/>
      <c r="S768" s="223"/>
    </row>
    <row r="769" spans="4:19" ht="25.5" customHeight="1">
      <c r="D769" s="35"/>
      <c r="E769" s="35"/>
      <c r="F769" s="35"/>
      <c r="G769" s="35"/>
      <c r="H769" s="35"/>
      <c r="L769" s="35"/>
      <c r="O769" s="32"/>
      <c r="Q769" s="223"/>
      <c r="R769" s="223"/>
      <c r="S769" s="223"/>
    </row>
    <row r="770" spans="4:19" ht="25.5" customHeight="1">
      <c r="D770" s="35"/>
      <c r="E770" s="35"/>
      <c r="F770" s="35"/>
      <c r="G770" s="35"/>
      <c r="H770" s="35"/>
      <c r="L770" s="35"/>
      <c r="O770" s="32"/>
      <c r="Q770" s="223"/>
      <c r="R770" s="223"/>
      <c r="S770" s="223"/>
    </row>
    <row r="771" spans="4:19" ht="25.5" customHeight="1">
      <c r="D771" s="35"/>
      <c r="E771" s="35"/>
      <c r="F771" s="35"/>
      <c r="G771" s="35"/>
      <c r="H771" s="35"/>
      <c r="L771" s="35"/>
      <c r="O771" s="32"/>
      <c r="Q771" s="223"/>
      <c r="R771" s="223"/>
      <c r="S771" s="223"/>
    </row>
    <row r="772" spans="4:19" ht="25.5" customHeight="1">
      <c r="D772" s="35"/>
      <c r="E772" s="35"/>
      <c r="F772" s="35"/>
      <c r="G772" s="35"/>
      <c r="H772" s="35"/>
      <c r="L772" s="35"/>
      <c r="O772" s="32"/>
      <c r="Q772" s="223"/>
      <c r="R772" s="223"/>
      <c r="S772" s="223"/>
    </row>
    <row r="773" spans="4:19" ht="25.5" customHeight="1">
      <c r="D773" s="35"/>
      <c r="E773" s="35"/>
      <c r="F773" s="35"/>
      <c r="G773" s="35"/>
      <c r="H773" s="35"/>
      <c r="L773" s="35"/>
      <c r="O773" s="32"/>
      <c r="Q773" s="223"/>
      <c r="R773" s="223"/>
      <c r="S773" s="223"/>
    </row>
    <row r="774" spans="4:19" ht="25.5" customHeight="1">
      <c r="D774" s="35"/>
      <c r="E774" s="35"/>
      <c r="F774" s="35"/>
      <c r="G774" s="35"/>
      <c r="H774" s="35"/>
      <c r="L774" s="35"/>
      <c r="O774" s="32"/>
      <c r="Q774" s="223"/>
      <c r="R774" s="223"/>
      <c r="S774" s="223"/>
    </row>
    <row r="775" spans="4:19" ht="25.5" customHeight="1">
      <c r="D775" s="35"/>
      <c r="E775" s="35"/>
      <c r="F775" s="35"/>
      <c r="G775" s="35"/>
      <c r="H775" s="35"/>
      <c r="L775" s="35"/>
      <c r="O775" s="32"/>
      <c r="Q775" s="223"/>
      <c r="R775" s="223"/>
      <c r="S775" s="223"/>
    </row>
    <row r="776" spans="4:19" ht="25.5" customHeight="1">
      <c r="D776" s="35"/>
      <c r="E776" s="35"/>
      <c r="F776" s="35"/>
      <c r="G776" s="35"/>
      <c r="H776" s="35"/>
      <c r="L776" s="35"/>
      <c r="O776" s="32"/>
      <c r="Q776" s="223"/>
      <c r="R776" s="223"/>
      <c r="S776" s="223"/>
    </row>
    <row r="777" spans="4:19" ht="25.5" customHeight="1">
      <c r="D777" s="35"/>
      <c r="E777" s="35"/>
      <c r="F777" s="35"/>
      <c r="G777" s="35"/>
      <c r="H777" s="35"/>
      <c r="L777" s="35"/>
      <c r="O777" s="32"/>
      <c r="Q777" s="223"/>
      <c r="R777" s="223"/>
      <c r="S777" s="223"/>
    </row>
    <row r="778" spans="4:19" ht="25.5" customHeight="1">
      <c r="D778" s="35"/>
      <c r="E778" s="35"/>
      <c r="F778" s="35"/>
      <c r="G778" s="35"/>
      <c r="H778" s="35"/>
      <c r="L778" s="35"/>
      <c r="O778" s="32"/>
      <c r="Q778" s="223"/>
      <c r="R778" s="223"/>
      <c r="S778" s="223"/>
    </row>
    <row r="779" spans="4:19" ht="25.5" customHeight="1">
      <c r="D779" s="35"/>
      <c r="E779" s="35"/>
      <c r="F779" s="35"/>
      <c r="G779" s="35"/>
      <c r="H779" s="35"/>
      <c r="L779" s="35"/>
      <c r="O779" s="32"/>
      <c r="Q779" s="223"/>
      <c r="R779" s="223"/>
      <c r="S779" s="223"/>
    </row>
    <row r="780" spans="4:19" ht="25.5" customHeight="1">
      <c r="D780" s="35"/>
      <c r="E780" s="35"/>
      <c r="F780" s="35"/>
      <c r="G780" s="35"/>
      <c r="H780" s="35"/>
      <c r="L780" s="35"/>
      <c r="O780" s="32"/>
      <c r="Q780" s="223"/>
      <c r="R780" s="223"/>
      <c r="S780" s="223"/>
    </row>
    <row r="781" spans="4:19" ht="25.5" customHeight="1">
      <c r="D781" s="35"/>
      <c r="E781" s="35"/>
      <c r="F781" s="35"/>
      <c r="G781" s="35"/>
      <c r="H781" s="35"/>
      <c r="L781" s="35"/>
      <c r="O781" s="32"/>
      <c r="Q781" s="223"/>
      <c r="R781" s="223"/>
      <c r="S781" s="223"/>
    </row>
    <row r="782" spans="4:19" ht="25.5" customHeight="1">
      <c r="D782" s="35"/>
      <c r="E782" s="35"/>
      <c r="F782" s="35"/>
      <c r="G782" s="35"/>
      <c r="H782" s="35"/>
      <c r="L782" s="35"/>
      <c r="O782" s="32"/>
      <c r="Q782" s="223"/>
      <c r="R782" s="223"/>
      <c r="S782" s="223"/>
    </row>
    <row r="783" spans="4:19" ht="25.5" customHeight="1">
      <c r="D783" s="35"/>
      <c r="E783" s="35"/>
      <c r="F783" s="35"/>
      <c r="G783" s="35"/>
      <c r="H783" s="35"/>
      <c r="L783" s="35"/>
      <c r="O783" s="32"/>
      <c r="Q783" s="223"/>
      <c r="R783" s="223"/>
      <c r="S783" s="223"/>
    </row>
    <row r="784" spans="4:19" ht="25.5" customHeight="1">
      <c r="D784" s="35"/>
      <c r="E784" s="35"/>
      <c r="F784" s="35"/>
      <c r="G784" s="35"/>
      <c r="H784" s="35"/>
      <c r="L784" s="35"/>
      <c r="O784" s="32"/>
      <c r="Q784" s="223"/>
      <c r="R784" s="223"/>
      <c r="S784" s="223"/>
    </row>
    <row r="785" spans="4:19" ht="25.5" customHeight="1">
      <c r="D785" s="35"/>
      <c r="E785" s="35"/>
      <c r="F785" s="35"/>
      <c r="G785" s="35"/>
      <c r="H785" s="35"/>
      <c r="L785" s="35"/>
      <c r="O785" s="32"/>
      <c r="Q785" s="223"/>
      <c r="R785" s="223"/>
      <c r="S785" s="223"/>
    </row>
    <row r="786" spans="4:19" ht="25.5" customHeight="1">
      <c r="D786" s="35"/>
      <c r="E786" s="35"/>
      <c r="F786" s="35"/>
      <c r="G786" s="35"/>
      <c r="H786" s="35"/>
      <c r="L786" s="35"/>
      <c r="O786" s="32"/>
      <c r="Q786" s="223"/>
      <c r="R786" s="223"/>
      <c r="S786" s="223"/>
    </row>
    <row r="787" spans="4:19" ht="25.5" customHeight="1">
      <c r="D787" s="35"/>
      <c r="E787" s="35"/>
      <c r="F787" s="35"/>
      <c r="G787" s="35"/>
      <c r="H787" s="35"/>
      <c r="L787" s="35"/>
      <c r="O787" s="32"/>
      <c r="Q787" s="223"/>
      <c r="R787" s="223"/>
      <c r="S787" s="223"/>
    </row>
    <row r="788" spans="4:19" ht="25.5" customHeight="1">
      <c r="D788" s="35"/>
      <c r="E788" s="35"/>
      <c r="F788" s="35"/>
      <c r="G788" s="35"/>
      <c r="H788" s="35"/>
      <c r="L788" s="35"/>
      <c r="O788" s="32"/>
      <c r="Q788" s="223"/>
      <c r="R788" s="223"/>
      <c r="S788" s="223"/>
    </row>
    <row r="789" spans="4:19" ht="25.5" customHeight="1">
      <c r="D789" s="35"/>
      <c r="E789" s="35"/>
      <c r="F789" s="35"/>
      <c r="G789" s="35"/>
      <c r="H789" s="35"/>
      <c r="L789" s="35"/>
      <c r="O789" s="32"/>
      <c r="Q789" s="223"/>
      <c r="R789" s="223"/>
      <c r="S789" s="223"/>
    </row>
    <row r="790" spans="4:19" ht="25.5" customHeight="1">
      <c r="D790" s="35"/>
      <c r="E790" s="35"/>
      <c r="F790" s="35"/>
      <c r="G790" s="35"/>
      <c r="H790" s="35"/>
      <c r="L790" s="35"/>
      <c r="O790" s="32"/>
      <c r="Q790" s="223"/>
      <c r="R790" s="223"/>
      <c r="S790" s="223"/>
    </row>
    <row r="791" spans="4:19" ht="25.5" customHeight="1">
      <c r="D791" s="35"/>
      <c r="E791" s="35"/>
      <c r="F791" s="35"/>
      <c r="G791" s="35"/>
      <c r="H791" s="35"/>
      <c r="L791" s="35"/>
      <c r="O791" s="32"/>
      <c r="Q791" s="223"/>
      <c r="R791" s="223"/>
      <c r="S791" s="223"/>
    </row>
    <row r="792" spans="4:19" ht="25.5" customHeight="1">
      <c r="D792" s="35"/>
      <c r="E792" s="35"/>
      <c r="F792" s="35"/>
      <c r="G792" s="35"/>
      <c r="H792" s="35"/>
      <c r="L792" s="35"/>
      <c r="O792" s="32"/>
      <c r="Q792" s="223"/>
      <c r="R792" s="223"/>
      <c r="S792" s="223"/>
    </row>
    <row r="793" spans="4:19" ht="25.5" customHeight="1">
      <c r="D793" s="35"/>
      <c r="E793" s="35"/>
      <c r="F793" s="35"/>
      <c r="G793" s="35"/>
      <c r="H793" s="35"/>
      <c r="L793" s="35"/>
      <c r="O793" s="32"/>
      <c r="Q793" s="223"/>
      <c r="R793" s="223"/>
      <c r="S793" s="223"/>
    </row>
    <row r="794" spans="4:19" ht="25.5" customHeight="1">
      <c r="D794" s="35"/>
      <c r="E794" s="35"/>
      <c r="F794" s="35"/>
      <c r="G794" s="35"/>
      <c r="H794" s="35"/>
      <c r="L794" s="35"/>
      <c r="O794" s="32"/>
      <c r="Q794" s="223"/>
      <c r="R794" s="223"/>
      <c r="S794" s="223"/>
    </row>
    <row r="795" spans="4:19" ht="25.5" customHeight="1">
      <c r="D795" s="35"/>
      <c r="E795" s="35"/>
      <c r="F795" s="35"/>
      <c r="G795" s="35"/>
      <c r="H795" s="35"/>
      <c r="L795" s="35"/>
      <c r="O795" s="32"/>
      <c r="Q795" s="223"/>
      <c r="R795" s="223"/>
      <c r="S795" s="223"/>
    </row>
    <row r="796" spans="4:19" ht="25.5" customHeight="1">
      <c r="D796" s="35"/>
      <c r="E796" s="35"/>
      <c r="F796" s="35"/>
      <c r="G796" s="35"/>
      <c r="H796" s="35"/>
      <c r="L796" s="35"/>
      <c r="O796" s="32"/>
      <c r="Q796" s="223"/>
      <c r="R796" s="223"/>
      <c r="S796" s="223"/>
    </row>
    <row r="797" spans="4:19" ht="25.5" customHeight="1">
      <c r="D797" s="35"/>
      <c r="E797" s="35"/>
      <c r="F797" s="35"/>
      <c r="G797" s="35"/>
      <c r="H797" s="35"/>
      <c r="L797" s="35"/>
      <c r="O797" s="32"/>
      <c r="Q797" s="223"/>
      <c r="R797" s="223"/>
      <c r="S797" s="223"/>
    </row>
    <row r="798" spans="4:19" ht="25.5" customHeight="1">
      <c r="D798" s="35"/>
      <c r="E798" s="35"/>
      <c r="F798" s="35"/>
      <c r="G798" s="35"/>
      <c r="H798" s="35"/>
      <c r="L798" s="35"/>
      <c r="O798" s="32"/>
      <c r="Q798" s="223"/>
      <c r="R798" s="223"/>
      <c r="S798" s="223"/>
    </row>
    <row r="799" spans="4:19" ht="25.5" customHeight="1">
      <c r="D799" s="35"/>
      <c r="E799" s="35"/>
      <c r="F799" s="35"/>
      <c r="G799" s="35"/>
      <c r="H799" s="35"/>
      <c r="L799" s="35"/>
      <c r="O799" s="32"/>
      <c r="Q799" s="223"/>
      <c r="R799" s="223"/>
      <c r="S799" s="223"/>
    </row>
    <row r="800" spans="4:19" ht="25.5" customHeight="1">
      <c r="D800" s="35"/>
      <c r="E800" s="35"/>
      <c r="F800" s="35"/>
      <c r="G800" s="35"/>
      <c r="H800" s="35"/>
      <c r="L800" s="35"/>
      <c r="O800" s="32"/>
      <c r="Q800" s="223"/>
      <c r="R800" s="223"/>
      <c r="S800" s="223"/>
    </row>
    <row r="801" spans="4:19" ht="25.5" customHeight="1">
      <c r="D801" s="35"/>
      <c r="E801" s="35"/>
      <c r="F801" s="35"/>
      <c r="G801" s="35"/>
      <c r="H801" s="35"/>
      <c r="L801" s="35"/>
      <c r="O801" s="32"/>
      <c r="Q801" s="223"/>
      <c r="R801" s="223"/>
      <c r="S801" s="223"/>
    </row>
    <row r="802" spans="4:19" ht="25.5" customHeight="1">
      <c r="D802" s="35"/>
      <c r="E802" s="35"/>
      <c r="F802" s="35"/>
      <c r="G802" s="35"/>
      <c r="H802" s="35"/>
      <c r="L802" s="35"/>
      <c r="O802" s="32"/>
      <c r="Q802" s="223"/>
      <c r="R802" s="223"/>
      <c r="S802" s="223"/>
    </row>
    <row r="803" spans="4:19" ht="25.5" customHeight="1">
      <c r="D803" s="35"/>
      <c r="E803" s="35"/>
      <c r="F803" s="35"/>
      <c r="G803" s="35"/>
      <c r="H803" s="35"/>
      <c r="L803" s="35"/>
      <c r="O803" s="32"/>
      <c r="Q803" s="223"/>
      <c r="R803" s="223"/>
      <c r="S803" s="223"/>
    </row>
    <row r="804" spans="4:19" ht="25.5" customHeight="1">
      <c r="D804" s="35"/>
      <c r="E804" s="35"/>
      <c r="F804" s="35"/>
      <c r="G804" s="35"/>
      <c r="H804" s="35"/>
      <c r="L804" s="35"/>
      <c r="O804" s="32"/>
      <c r="Q804" s="223"/>
      <c r="R804" s="223"/>
      <c r="S804" s="223"/>
    </row>
    <row r="805" spans="4:19" ht="25.5" customHeight="1">
      <c r="D805" s="35"/>
      <c r="E805" s="35"/>
      <c r="F805" s="35"/>
      <c r="G805" s="35"/>
      <c r="H805" s="35"/>
      <c r="L805" s="35"/>
      <c r="O805" s="32"/>
      <c r="Q805" s="223"/>
      <c r="R805" s="223"/>
      <c r="S805" s="223"/>
    </row>
    <row r="806" spans="4:19" ht="25.5" customHeight="1">
      <c r="D806" s="35"/>
      <c r="E806" s="35"/>
      <c r="F806" s="35"/>
      <c r="G806" s="35"/>
      <c r="H806" s="35"/>
      <c r="L806" s="35"/>
      <c r="O806" s="32"/>
      <c r="Q806" s="223"/>
      <c r="R806" s="223"/>
      <c r="S806" s="223"/>
    </row>
    <row r="807" spans="4:19" ht="25.5" customHeight="1">
      <c r="D807" s="35"/>
      <c r="E807" s="35"/>
      <c r="F807" s="35"/>
      <c r="G807" s="35"/>
      <c r="H807" s="35"/>
      <c r="L807" s="35"/>
      <c r="O807" s="32"/>
      <c r="Q807" s="223"/>
      <c r="R807" s="223"/>
      <c r="S807" s="223"/>
    </row>
    <row r="808" spans="4:19" ht="25.5" customHeight="1">
      <c r="D808" s="35"/>
      <c r="E808" s="35"/>
      <c r="F808" s="35"/>
      <c r="G808" s="35"/>
      <c r="H808" s="35"/>
      <c r="L808" s="35"/>
      <c r="O808" s="32"/>
      <c r="Q808" s="223"/>
      <c r="R808" s="223"/>
      <c r="S808" s="223"/>
    </row>
    <row r="809" spans="4:19" ht="25.5" customHeight="1">
      <c r="D809" s="35"/>
      <c r="E809" s="35"/>
      <c r="F809" s="35"/>
      <c r="G809" s="35"/>
      <c r="H809" s="35"/>
      <c r="L809" s="35"/>
      <c r="O809" s="32"/>
      <c r="Q809" s="223"/>
      <c r="R809" s="223"/>
      <c r="S809" s="223"/>
    </row>
    <row r="810" spans="4:19" ht="25.5" customHeight="1">
      <c r="D810" s="35"/>
      <c r="E810" s="35"/>
      <c r="F810" s="35"/>
      <c r="G810" s="35"/>
      <c r="H810" s="35"/>
      <c r="L810" s="35"/>
      <c r="O810" s="32"/>
      <c r="Q810" s="223"/>
      <c r="R810" s="223"/>
      <c r="S810" s="223"/>
    </row>
    <row r="811" spans="4:19" ht="25.5" customHeight="1">
      <c r="D811" s="35"/>
      <c r="E811" s="35"/>
      <c r="F811" s="35"/>
      <c r="G811" s="35"/>
      <c r="H811" s="35"/>
      <c r="L811" s="35"/>
      <c r="O811" s="32"/>
      <c r="Q811" s="223"/>
      <c r="R811" s="223"/>
      <c r="S811" s="223"/>
    </row>
    <row r="812" spans="4:19" ht="25.5" customHeight="1">
      <c r="D812" s="35"/>
      <c r="E812" s="35"/>
      <c r="F812" s="35"/>
      <c r="G812" s="35"/>
      <c r="H812" s="35"/>
      <c r="L812" s="35"/>
      <c r="O812" s="32"/>
      <c r="Q812" s="223"/>
      <c r="R812" s="223"/>
      <c r="S812" s="223"/>
    </row>
    <row r="813" spans="4:19" ht="25.5" customHeight="1">
      <c r="D813" s="35"/>
      <c r="E813" s="35"/>
      <c r="F813" s="35"/>
      <c r="G813" s="35"/>
      <c r="H813" s="35"/>
      <c r="L813" s="35"/>
      <c r="O813" s="32"/>
      <c r="Q813" s="223"/>
      <c r="R813" s="223"/>
      <c r="S813" s="223"/>
    </row>
    <row r="814" spans="4:19" ht="25.5" customHeight="1">
      <c r="D814" s="35"/>
      <c r="E814" s="35"/>
      <c r="F814" s="35"/>
      <c r="G814" s="35"/>
      <c r="H814" s="35"/>
      <c r="L814" s="35"/>
      <c r="O814" s="32"/>
      <c r="Q814" s="223"/>
      <c r="R814" s="223"/>
      <c r="S814" s="223"/>
    </row>
    <row r="815" spans="4:19" ht="25.5" customHeight="1">
      <c r="D815" s="35"/>
      <c r="E815" s="35"/>
      <c r="F815" s="35"/>
      <c r="G815" s="35"/>
      <c r="H815" s="35"/>
      <c r="L815" s="35"/>
      <c r="O815" s="32"/>
      <c r="Q815" s="223"/>
      <c r="R815" s="223"/>
      <c r="S815" s="223"/>
    </row>
    <row r="816" spans="4:19" ht="25.5" customHeight="1">
      <c r="D816" s="35"/>
      <c r="E816" s="35"/>
      <c r="F816" s="35"/>
      <c r="G816" s="35"/>
      <c r="H816" s="35"/>
      <c r="L816" s="35"/>
      <c r="O816" s="32"/>
      <c r="Q816" s="223"/>
      <c r="R816" s="223"/>
      <c r="S816" s="223"/>
    </row>
    <row r="817" spans="4:19" ht="25.5" customHeight="1">
      <c r="D817" s="35"/>
      <c r="E817" s="35"/>
      <c r="F817" s="35"/>
      <c r="G817" s="35"/>
      <c r="H817" s="35"/>
      <c r="L817" s="35"/>
      <c r="O817" s="32"/>
      <c r="Q817" s="223"/>
      <c r="R817" s="223"/>
      <c r="S817" s="223"/>
    </row>
    <row r="818" spans="4:19" ht="25.5" customHeight="1">
      <c r="D818" s="35"/>
      <c r="E818" s="35"/>
      <c r="F818" s="35"/>
      <c r="G818" s="35"/>
      <c r="H818" s="35"/>
      <c r="L818" s="35"/>
      <c r="O818" s="32"/>
      <c r="Q818" s="223"/>
      <c r="R818" s="223"/>
      <c r="S818" s="223"/>
    </row>
    <row r="819" spans="4:19" ht="25.5" customHeight="1">
      <c r="D819" s="35"/>
      <c r="E819" s="35"/>
      <c r="F819" s="35"/>
      <c r="G819" s="35"/>
      <c r="H819" s="35"/>
      <c r="L819" s="35"/>
      <c r="O819" s="32"/>
      <c r="Q819" s="223"/>
      <c r="R819" s="223"/>
      <c r="S819" s="223"/>
    </row>
    <row r="820" spans="4:19" ht="25.5" customHeight="1">
      <c r="D820" s="35"/>
      <c r="E820" s="35"/>
      <c r="F820" s="35"/>
      <c r="G820" s="35"/>
      <c r="H820" s="35"/>
      <c r="L820" s="35"/>
      <c r="O820" s="32"/>
      <c r="Q820" s="223"/>
      <c r="R820" s="223"/>
      <c r="S820" s="223"/>
    </row>
    <row r="821" spans="4:19" ht="25.5" customHeight="1">
      <c r="D821" s="35"/>
      <c r="E821" s="35"/>
      <c r="F821" s="35"/>
      <c r="G821" s="35"/>
      <c r="H821" s="35"/>
      <c r="L821" s="35"/>
      <c r="O821" s="32"/>
      <c r="Q821" s="223"/>
      <c r="R821" s="223"/>
      <c r="S821" s="223"/>
    </row>
    <row r="822" spans="4:19" ht="25.5" customHeight="1">
      <c r="D822" s="35"/>
      <c r="E822" s="35"/>
      <c r="F822" s="35"/>
      <c r="G822" s="35"/>
      <c r="H822" s="35"/>
      <c r="L822" s="35"/>
      <c r="O822" s="32"/>
      <c r="Q822" s="223"/>
      <c r="R822" s="223"/>
      <c r="S822" s="223"/>
    </row>
    <row r="823" spans="4:19" ht="25.5" customHeight="1">
      <c r="D823" s="35"/>
      <c r="E823" s="35"/>
      <c r="F823" s="35"/>
      <c r="G823" s="35"/>
      <c r="H823" s="35"/>
      <c r="L823" s="35"/>
      <c r="O823" s="32"/>
      <c r="Q823" s="223"/>
      <c r="R823" s="223"/>
      <c r="S823" s="223"/>
    </row>
    <row r="824" spans="4:19" ht="25.5" customHeight="1">
      <c r="D824" s="35"/>
      <c r="E824" s="35"/>
      <c r="F824" s="35"/>
      <c r="G824" s="35"/>
      <c r="H824" s="35"/>
      <c r="L824" s="35"/>
      <c r="O824" s="32"/>
      <c r="Q824" s="223"/>
      <c r="R824" s="223"/>
      <c r="S824" s="223"/>
    </row>
    <row r="825" spans="4:19" ht="25.5" customHeight="1">
      <c r="D825" s="35"/>
      <c r="E825" s="35"/>
      <c r="F825" s="35"/>
      <c r="G825" s="35"/>
      <c r="H825" s="35"/>
      <c r="L825" s="35"/>
      <c r="O825" s="32"/>
      <c r="Q825" s="223"/>
      <c r="R825" s="223"/>
      <c r="S825" s="223"/>
    </row>
    <row r="826" spans="4:19" ht="25.5" customHeight="1">
      <c r="D826" s="35"/>
      <c r="E826" s="35"/>
      <c r="F826" s="35"/>
      <c r="G826" s="35"/>
      <c r="H826" s="35"/>
      <c r="L826" s="35"/>
      <c r="O826" s="32"/>
      <c r="Q826" s="223"/>
      <c r="R826" s="223"/>
      <c r="S826" s="223"/>
    </row>
    <row r="827" spans="4:19" ht="25.5" customHeight="1">
      <c r="D827" s="35"/>
      <c r="E827" s="35"/>
      <c r="F827" s="35"/>
      <c r="G827" s="35"/>
      <c r="H827" s="35"/>
      <c r="L827" s="35"/>
      <c r="O827" s="32"/>
      <c r="Q827" s="223"/>
      <c r="R827" s="223"/>
      <c r="S827" s="223"/>
    </row>
    <row r="828" spans="4:19" ht="25.5" customHeight="1">
      <c r="D828" s="35"/>
      <c r="E828" s="35"/>
      <c r="F828" s="35"/>
      <c r="G828" s="35"/>
      <c r="H828" s="35"/>
      <c r="L828" s="35"/>
      <c r="O828" s="32"/>
      <c r="Q828" s="223"/>
      <c r="R828" s="223"/>
      <c r="S828" s="223"/>
    </row>
    <row r="829" spans="4:19" ht="25.5" customHeight="1">
      <c r="D829" s="35"/>
      <c r="E829" s="35"/>
      <c r="F829" s="35"/>
      <c r="G829" s="35"/>
      <c r="H829" s="35"/>
      <c r="L829" s="35"/>
      <c r="O829" s="32"/>
      <c r="Q829" s="223"/>
      <c r="R829" s="223"/>
      <c r="S829" s="223"/>
    </row>
    <row r="830" spans="4:19" ht="25.5" customHeight="1">
      <c r="D830" s="35"/>
      <c r="E830" s="35"/>
      <c r="F830" s="35"/>
      <c r="G830" s="35"/>
      <c r="H830" s="35"/>
      <c r="L830" s="35"/>
      <c r="O830" s="32"/>
      <c r="Q830" s="223"/>
      <c r="R830" s="223"/>
      <c r="S830" s="223"/>
    </row>
    <row r="831" spans="4:19" ht="25.5" customHeight="1">
      <c r="D831" s="35"/>
      <c r="E831" s="35"/>
      <c r="F831" s="35"/>
      <c r="G831" s="35"/>
      <c r="H831" s="35"/>
      <c r="L831" s="35"/>
      <c r="O831" s="32"/>
      <c r="Q831" s="223"/>
      <c r="R831" s="223"/>
      <c r="S831" s="223"/>
    </row>
    <row r="832" spans="4:19" ht="25.5" customHeight="1">
      <c r="D832" s="35"/>
      <c r="E832" s="35"/>
      <c r="F832" s="35"/>
      <c r="G832" s="35"/>
      <c r="H832" s="35"/>
      <c r="L832" s="35"/>
      <c r="O832" s="32"/>
      <c r="Q832" s="223"/>
      <c r="R832" s="223"/>
      <c r="S832" s="223"/>
    </row>
    <row r="833" spans="4:19" ht="25.5" customHeight="1">
      <c r="D833" s="35"/>
      <c r="E833" s="35"/>
      <c r="F833" s="35"/>
      <c r="G833" s="35"/>
      <c r="H833" s="35"/>
      <c r="L833" s="35"/>
      <c r="O833" s="32"/>
      <c r="Q833" s="223"/>
      <c r="R833" s="223"/>
      <c r="S833" s="223"/>
    </row>
    <row r="834" spans="4:19" ht="25.5" customHeight="1">
      <c r="D834" s="35"/>
      <c r="E834" s="35"/>
      <c r="F834" s="35"/>
      <c r="G834" s="35"/>
      <c r="H834" s="35"/>
      <c r="L834" s="35"/>
      <c r="O834" s="32"/>
      <c r="Q834" s="223"/>
      <c r="R834" s="223"/>
      <c r="S834" s="223"/>
    </row>
    <row r="835" spans="4:19" ht="25.5" customHeight="1">
      <c r="D835" s="35"/>
      <c r="E835" s="35"/>
      <c r="F835" s="35"/>
      <c r="G835" s="35"/>
      <c r="H835" s="35"/>
      <c r="L835" s="35"/>
      <c r="O835" s="32"/>
      <c r="Q835" s="223"/>
      <c r="R835" s="223"/>
      <c r="S835" s="223"/>
    </row>
    <row r="836" spans="4:19" ht="25.5" customHeight="1">
      <c r="D836" s="35"/>
      <c r="E836" s="35"/>
      <c r="F836" s="35"/>
      <c r="G836" s="35"/>
      <c r="H836" s="35"/>
      <c r="L836" s="35"/>
      <c r="O836" s="32"/>
      <c r="Q836" s="223"/>
      <c r="R836" s="223"/>
      <c r="S836" s="223"/>
    </row>
    <row r="837" spans="4:19" ht="25.5" customHeight="1">
      <c r="D837" s="35"/>
      <c r="E837" s="35"/>
      <c r="F837" s="35"/>
      <c r="G837" s="35"/>
      <c r="H837" s="35"/>
      <c r="L837" s="35"/>
      <c r="O837" s="32"/>
      <c r="Q837" s="223"/>
      <c r="R837" s="223"/>
      <c r="S837" s="223"/>
    </row>
    <row r="838" spans="4:19" ht="25.5" customHeight="1">
      <c r="D838" s="35"/>
      <c r="E838" s="35"/>
      <c r="F838" s="35"/>
      <c r="G838" s="35"/>
      <c r="H838" s="35"/>
      <c r="L838" s="35"/>
      <c r="O838" s="32"/>
      <c r="Q838" s="223"/>
      <c r="R838" s="223"/>
      <c r="S838" s="223"/>
    </row>
    <row r="839" spans="4:19" ht="25.5" customHeight="1">
      <c r="D839" s="35"/>
      <c r="E839" s="35"/>
      <c r="F839" s="35"/>
      <c r="G839" s="35"/>
      <c r="H839" s="35"/>
      <c r="L839" s="35"/>
      <c r="O839" s="32"/>
      <c r="Q839" s="223"/>
      <c r="R839" s="223"/>
      <c r="S839" s="223"/>
    </row>
    <row r="840" spans="4:19" ht="25.5" customHeight="1">
      <c r="D840" s="35"/>
      <c r="E840" s="35"/>
      <c r="F840" s="35"/>
      <c r="G840" s="35"/>
      <c r="H840" s="35"/>
      <c r="L840" s="35"/>
      <c r="O840" s="32"/>
      <c r="Q840" s="223"/>
      <c r="R840" s="223"/>
      <c r="S840" s="223"/>
    </row>
    <row r="841" spans="4:19" ht="25.5" customHeight="1">
      <c r="D841" s="35"/>
      <c r="E841" s="35"/>
      <c r="F841" s="35"/>
      <c r="G841" s="35"/>
      <c r="H841" s="35"/>
      <c r="L841" s="35"/>
      <c r="O841" s="32"/>
      <c r="Q841" s="223"/>
      <c r="R841" s="223"/>
      <c r="S841" s="223"/>
    </row>
    <row r="842" spans="4:19" ht="25.5" customHeight="1">
      <c r="D842" s="35"/>
      <c r="E842" s="35"/>
      <c r="F842" s="35"/>
      <c r="G842" s="35"/>
      <c r="H842" s="35"/>
      <c r="L842" s="35"/>
      <c r="O842" s="32"/>
      <c r="Q842" s="223"/>
      <c r="R842" s="223"/>
      <c r="S842" s="223"/>
    </row>
    <row r="843" spans="4:19" ht="25.5" customHeight="1">
      <c r="D843" s="35"/>
      <c r="E843" s="35"/>
      <c r="F843" s="35"/>
      <c r="G843" s="35"/>
      <c r="H843" s="35"/>
      <c r="L843" s="35"/>
      <c r="O843" s="32"/>
      <c r="Q843" s="223"/>
      <c r="R843" s="223"/>
      <c r="S843" s="223"/>
    </row>
    <row r="844" spans="4:19" ht="25.5" customHeight="1">
      <c r="D844" s="35"/>
      <c r="E844" s="35"/>
      <c r="F844" s="35"/>
      <c r="G844" s="35"/>
      <c r="H844" s="35"/>
      <c r="L844" s="35"/>
      <c r="O844" s="32"/>
      <c r="Q844" s="223"/>
      <c r="R844" s="223"/>
      <c r="S844" s="223"/>
    </row>
    <row r="845" spans="4:19" ht="25.5" customHeight="1">
      <c r="D845" s="35"/>
      <c r="E845" s="35"/>
      <c r="F845" s="35"/>
      <c r="G845" s="35"/>
      <c r="H845" s="35"/>
      <c r="L845" s="35"/>
      <c r="O845" s="32"/>
      <c r="Q845" s="223"/>
      <c r="R845" s="223"/>
      <c r="S845" s="223"/>
    </row>
    <row r="846" spans="4:19" ht="25.5" customHeight="1">
      <c r="D846" s="35"/>
      <c r="E846" s="35"/>
      <c r="F846" s="35"/>
      <c r="G846" s="35"/>
      <c r="H846" s="35"/>
      <c r="L846" s="35"/>
      <c r="O846" s="32"/>
      <c r="Q846" s="223"/>
      <c r="R846" s="223"/>
      <c r="S846" s="223"/>
    </row>
    <row r="847" spans="4:19" ht="25.5" customHeight="1">
      <c r="D847" s="35"/>
      <c r="E847" s="35"/>
      <c r="F847" s="35"/>
      <c r="G847" s="35"/>
      <c r="H847" s="35"/>
      <c r="L847" s="35"/>
      <c r="O847" s="32"/>
      <c r="Q847" s="223"/>
      <c r="R847" s="223"/>
      <c r="S847" s="223"/>
    </row>
    <row r="848" spans="4:19" ht="25.5" customHeight="1">
      <c r="D848" s="35"/>
      <c r="E848" s="35"/>
      <c r="F848" s="35"/>
      <c r="G848" s="35"/>
      <c r="H848" s="35"/>
      <c r="L848" s="35"/>
      <c r="O848" s="32"/>
      <c r="Q848" s="223"/>
      <c r="R848" s="223"/>
      <c r="S848" s="223"/>
    </row>
    <row r="849" spans="4:19" ht="25.5" customHeight="1">
      <c r="D849" s="35"/>
      <c r="E849" s="35"/>
      <c r="F849" s="35"/>
      <c r="G849" s="35"/>
      <c r="H849" s="35"/>
      <c r="L849" s="35"/>
      <c r="O849" s="32"/>
      <c r="Q849" s="223"/>
      <c r="R849" s="223"/>
      <c r="S849" s="223"/>
    </row>
    <row r="850" spans="4:19" ht="25.5" customHeight="1">
      <c r="D850" s="35"/>
      <c r="E850" s="35"/>
      <c r="F850" s="35"/>
      <c r="G850" s="35"/>
      <c r="H850" s="35"/>
      <c r="L850" s="35"/>
      <c r="O850" s="32"/>
      <c r="Q850" s="223"/>
      <c r="R850" s="223"/>
      <c r="S850" s="223"/>
    </row>
    <row r="851" spans="4:19" ht="25.5" customHeight="1">
      <c r="D851" s="35"/>
      <c r="E851" s="35"/>
      <c r="F851" s="35"/>
      <c r="G851" s="35"/>
      <c r="H851" s="35"/>
      <c r="L851" s="35"/>
      <c r="O851" s="32"/>
      <c r="Q851" s="223"/>
      <c r="R851" s="223"/>
      <c r="S851" s="223"/>
    </row>
    <row r="852" spans="4:19" ht="25.5" customHeight="1">
      <c r="D852" s="35"/>
      <c r="E852" s="35"/>
      <c r="F852" s="35"/>
      <c r="G852" s="35"/>
      <c r="H852" s="35"/>
      <c r="L852" s="35"/>
      <c r="O852" s="32"/>
      <c r="Q852" s="223"/>
      <c r="R852" s="223"/>
      <c r="S852" s="223"/>
    </row>
    <row r="853" spans="4:19" ht="25.5" customHeight="1">
      <c r="D853" s="35"/>
      <c r="E853" s="35"/>
      <c r="F853" s="35"/>
      <c r="G853" s="35"/>
      <c r="H853" s="35"/>
      <c r="L853" s="35"/>
      <c r="O853" s="32"/>
      <c r="Q853" s="223"/>
      <c r="R853" s="223"/>
      <c r="S853" s="223"/>
    </row>
    <row r="854" spans="4:19" ht="25.5" customHeight="1">
      <c r="D854" s="35"/>
      <c r="E854" s="35"/>
      <c r="F854" s="35"/>
      <c r="G854" s="35"/>
      <c r="H854" s="35"/>
      <c r="L854" s="35"/>
      <c r="O854" s="32"/>
      <c r="Q854" s="223"/>
      <c r="R854" s="223"/>
      <c r="S854" s="223"/>
    </row>
    <row r="855" spans="4:19" ht="25.5" customHeight="1">
      <c r="D855" s="35"/>
      <c r="E855" s="35"/>
      <c r="F855" s="35"/>
      <c r="G855" s="35"/>
      <c r="H855" s="35"/>
      <c r="L855" s="35"/>
      <c r="O855" s="32"/>
      <c r="Q855" s="223"/>
      <c r="R855" s="223"/>
      <c r="S855" s="223"/>
    </row>
    <row r="856" spans="4:19" ht="25.5" customHeight="1">
      <c r="D856" s="35"/>
      <c r="E856" s="35"/>
      <c r="F856" s="35"/>
      <c r="G856" s="35"/>
      <c r="H856" s="35"/>
      <c r="L856" s="35"/>
      <c r="O856" s="32"/>
      <c r="Q856" s="223"/>
      <c r="R856" s="223"/>
      <c r="S856" s="223"/>
    </row>
    <row r="857" spans="4:19" ht="25.5" customHeight="1">
      <c r="D857" s="35"/>
      <c r="E857" s="35"/>
      <c r="F857" s="35"/>
      <c r="G857" s="35"/>
      <c r="H857" s="35"/>
      <c r="L857" s="35"/>
      <c r="O857" s="32"/>
      <c r="Q857" s="223"/>
      <c r="R857" s="223"/>
      <c r="S857" s="223"/>
    </row>
    <row r="858" spans="4:19" ht="25.5" customHeight="1">
      <c r="D858" s="35"/>
      <c r="E858" s="35"/>
      <c r="F858" s="35"/>
      <c r="G858" s="35"/>
      <c r="H858" s="35"/>
      <c r="L858" s="35"/>
      <c r="O858" s="32"/>
      <c r="Q858" s="223"/>
      <c r="R858" s="223"/>
      <c r="S858" s="223"/>
    </row>
    <row r="859" spans="4:19" ht="25.5" customHeight="1">
      <c r="D859" s="35"/>
      <c r="E859" s="35"/>
      <c r="F859" s="35"/>
      <c r="G859" s="35"/>
      <c r="H859" s="35"/>
      <c r="L859" s="35"/>
      <c r="O859" s="32"/>
      <c r="Q859" s="223"/>
      <c r="R859" s="223"/>
      <c r="S859" s="223"/>
    </row>
    <row r="860" spans="4:19" ht="25.5" customHeight="1">
      <c r="D860" s="35"/>
      <c r="E860" s="35"/>
      <c r="F860" s="35"/>
      <c r="G860" s="35"/>
      <c r="H860" s="35"/>
      <c r="L860" s="35"/>
      <c r="O860" s="32"/>
      <c r="Q860" s="223"/>
      <c r="R860" s="223"/>
      <c r="S860" s="223"/>
    </row>
    <row r="861" spans="4:19" ht="25.5" customHeight="1">
      <c r="D861" s="35"/>
      <c r="E861" s="35"/>
      <c r="F861" s="35"/>
      <c r="G861" s="35"/>
      <c r="H861" s="35"/>
      <c r="L861" s="35"/>
      <c r="O861" s="32"/>
      <c r="Q861" s="223"/>
      <c r="R861" s="223"/>
      <c r="S861" s="223"/>
    </row>
    <row r="862" spans="4:19" ht="25.5" customHeight="1">
      <c r="D862" s="35"/>
      <c r="E862" s="35"/>
      <c r="F862" s="35"/>
      <c r="G862" s="35"/>
      <c r="H862" s="35"/>
      <c r="L862" s="35"/>
      <c r="O862" s="32"/>
      <c r="Q862" s="223"/>
      <c r="R862" s="223"/>
      <c r="S862" s="223"/>
    </row>
    <row r="863" spans="4:19" ht="25.5" customHeight="1">
      <c r="D863" s="35"/>
      <c r="E863" s="35"/>
      <c r="F863" s="35"/>
      <c r="G863" s="35"/>
      <c r="H863" s="35"/>
      <c r="L863" s="35"/>
      <c r="O863" s="32"/>
      <c r="Q863" s="223"/>
      <c r="R863" s="223"/>
      <c r="S863" s="223"/>
    </row>
    <row r="864" spans="4:19" ht="25.5" customHeight="1">
      <c r="D864" s="35"/>
      <c r="E864" s="35"/>
      <c r="F864" s="35"/>
      <c r="G864" s="35"/>
      <c r="H864" s="35"/>
      <c r="L864" s="35"/>
      <c r="O864" s="32"/>
      <c r="Q864" s="223"/>
      <c r="R864" s="223"/>
      <c r="S864" s="223"/>
    </row>
    <row r="865" spans="4:19" ht="25.5" customHeight="1">
      <c r="D865" s="35"/>
      <c r="E865" s="35"/>
      <c r="F865" s="35"/>
      <c r="G865" s="35"/>
      <c r="H865" s="35"/>
      <c r="L865" s="35"/>
      <c r="O865" s="32"/>
      <c r="Q865" s="223"/>
      <c r="R865" s="223"/>
      <c r="S865" s="223"/>
    </row>
    <row r="866" spans="4:19" ht="25.5" customHeight="1">
      <c r="D866" s="35"/>
      <c r="E866" s="35"/>
      <c r="F866" s="35"/>
      <c r="G866" s="35"/>
      <c r="H866" s="35"/>
      <c r="L866" s="35"/>
      <c r="O866" s="32"/>
      <c r="Q866" s="223"/>
      <c r="R866" s="223"/>
      <c r="S866" s="223"/>
    </row>
    <row r="867" spans="4:19" ht="25.5" customHeight="1">
      <c r="D867" s="35"/>
      <c r="E867" s="35"/>
      <c r="F867" s="35"/>
      <c r="G867" s="35"/>
      <c r="H867" s="35"/>
      <c r="L867" s="35"/>
      <c r="O867" s="32"/>
      <c r="Q867" s="223"/>
      <c r="R867" s="223"/>
      <c r="S867" s="223"/>
    </row>
    <row r="868" spans="4:19" ht="25.5" customHeight="1">
      <c r="D868" s="35"/>
      <c r="E868" s="35"/>
      <c r="F868" s="35"/>
      <c r="G868" s="35"/>
      <c r="H868" s="35"/>
      <c r="L868" s="35"/>
      <c r="O868" s="32"/>
      <c r="Q868" s="223"/>
      <c r="R868" s="223"/>
      <c r="S868" s="223"/>
    </row>
    <row r="869" spans="4:19" ht="25.5" customHeight="1">
      <c r="D869" s="35"/>
      <c r="E869" s="35"/>
      <c r="F869" s="35"/>
      <c r="G869" s="35"/>
      <c r="H869" s="35"/>
      <c r="L869" s="35"/>
      <c r="O869" s="32"/>
      <c r="Q869" s="223"/>
      <c r="R869" s="223"/>
      <c r="S869" s="223"/>
    </row>
    <row r="870" spans="4:19" ht="25.5" customHeight="1">
      <c r="D870" s="35"/>
      <c r="E870" s="35"/>
      <c r="F870" s="35"/>
      <c r="G870" s="35"/>
      <c r="H870" s="35"/>
      <c r="L870" s="35"/>
      <c r="O870" s="32"/>
      <c r="Q870" s="223"/>
      <c r="R870" s="223"/>
      <c r="S870" s="223"/>
    </row>
    <row r="871" spans="4:19" ht="25.5" customHeight="1">
      <c r="D871" s="35"/>
      <c r="E871" s="35"/>
      <c r="F871" s="35"/>
      <c r="G871" s="35"/>
      <c r="H871" s="35"/>
      <c r="L871" s="35"/>
      <c r="O871" s="32"/>
      <c r="Q871" s="223"/>
      <c r="R871" s="223"/>
      <c r="S871" s="223"/>
    </row>
    <row r="872" spans="4:19" ht="25.5" customHeight="1">
      <c r="D872" s="35"/>
      <c r="E872" s="35"/>
      <c r="F872" s="35"/>
      <c r="G872" s="35"/>
      <c r="H872" s="35"/>
      <c r="L872" s="35"/>
      <c r="O872" s="32"/>
      <c r="Q872" s="223"/>
      <c r="R872" s="223"/>
      <c r="S872" s="223"/>
    </row>
    <row r="873" spans="4:19" ht="25.5" customHeight="1">
      <c r="D873" s="35"/>
      <c r="E873" s="35"/>
      <c r="F873" s="35"/>
      <c r="G873" s="35"/>
      <c r="H873" s="35"/>
      <c r="L873" s="35"/>
      <c r="O873" s="32"/>
      <c r="Q873" s="223"/>
      <c r="R873" s="223"/>
      <c r="S873" s="223"/>
    </row>
    <row r="874" spans="4:19" ht="25.5" customHeight="1">
      <c r="D874" s="35"/>
      <c r="E874" s="35"/>
      <c r="F874" s="35"/>
      <c r="G874" s="35"/>
      <c r="H874" s="35"/>
      <c r="L874" s="35"/>
      <c r="O874" s="32"/>
      <c r="Q874" s="223"/>
      <c r="R874" s="223"/>
      <c r="S874" s="223"/>
    </row>
    <row r="875" spans="4:19" ht="25.5" customHeight="1">
      <c r="D875" s="35"/>
      <c r="E875" s="35"/>
      <c r="F875" s="35"/>
      <c r="G875" s="35"/>
      <c r="H875" s="35"/>
      <c r="L875" s="35"/>
      <c r="O875" s="32"/>
      <c r="Q875" s="223"/>
      <c r="R875" s="223"/>
      <c r="S875" s="223"/>
    </row>
    <row r="876" spans="4:19" ht="25.5" customHeight="1">
      <c r="D876" s="35"/>
      <c r="E876" s="35"/>
      <c r="F876" s="35"/>
      <c r="G876" s="35"/>
      <c r="H876" s="35"/>
      <c r="L876" s="35"/>
      <c r="O876" s="32"/>
      <c r="Q876" s="223"/>
      <c r="R876" s="223"/>
      <c r="S876" s="223"/>
    </row>
    <row r="877" spans="4:19" ht="25.5" customHeight="1">
      <c r="D877" s="35"/>
      <c r="E877" s="35"/>
      <c r="F877" s="35"/>
      <c r="G877" s="35"/>
      <c r="H877" s="35"/>
      <c r="L877" s="35"/>
      <c r="O877" s="32"/>
      <c r="Q877" s="223"/>
      <c r="R877" s="223"/>
      <c r="S877" s="223"/>
    </row>
    <row r="878" spans="4:19" ht="25.5" customHeight="1">
      <c r="D878" s="35"/>
      <c r="E878" s="35"/>
      <c r="F878" s="35"/>
      <c r="G878" s="35"/>
      <c r="H878" s="35"/>
      <c r="L878" s="35"/>
      <c r="O878" s="32"/>
      <c r="Q878" s="223"/>
      <c r="R878" s="223"/>
      <c r="S878" s="223"/>
    </row>
    <row r="879" spans="4:19" ht="25.5" customHeight="1">
      <c r="D879" s="35"/>
      <c r="E879" s="35"/>
      <c r="F879" s="35"/>
      <c r="G879" s="35"/>
      <c r="H879" s="35"/>
      <c r="L879" s="35"/>
      <c r="O879" s="32"/>
      <c r="Q879" s="223"/>
      <c r="R879" s="223"/>
      <c r="S879" s="223"/>
    </row>
    <row r="880" spans="4:19" ht="25.5" customHeight="1">
      <c r="D880" s="35"/>
      <c r="E880" s="35"/>
      <c r="F880" s="35"/>
      <c r="G880" s="35"/>
      <c r="H880" s="35"/>
      <c r="L880" s="35"/>
      <c r="O880" s="32"/>
      <c r="Q880" s="223"/>
      <c r="R880" s="223"/>
      <c r="S880" s="223"/>
    </row>
    <row r="881" spans="4:19" ht="25.5" customHeight="1">
      <c r="D881" s="35"/>
      <c r="E881" s="35"/>
      <c r="F881" s="35"/>
      <c r="G881" s="35"/>
      <c r="H881" s="35"/>
      <c r="L881" s="35"/>
      <c r="O881" s="32"/>
      <c r="Q881" s="223"/>
      <c r="R881" s="223"/>
      <c r="S881" s="223"/>
    </row>
    <row r="882" spans="4:19" ht="25.5" customHeight="1">
      <c r="D882" s="35"/>
      <c r="E882" s="35"/>
      <c r="F882" s="35"/>
      <c r="G882" s="35"/>
      <c r="H882" s="35"/>
      <c r="L882" s="35"/>
      <c r="O882" s="32"/>
      <c r="Q882" s="223"/>
      <c r="R882" s="223"/>
      <c r="S882" s="223"/>
    </row>
    <row r="883" spans="4:19" ht="25.5" customHeight="1">
      <c r="D883" s="35"/>
      <c r="E883" s="35"/>
      <c r="F883" s="35"/>
      <c r="G883" s="35"/>
      <c r="H883" s="35"/>
      <c r="L883" s="35"/>
      <c r="O883" s="32"/>
      <c r="Q883" s="223"/>
      <c r="R883" s="223"/>
      <c r="S883" s="223"/>
    </row>
    <row r="884" spans="4:19" ht="25.5" customHeight="1">
      <c r="D884" s="35"/>
      <c r="E884" s="35"/>
      <c r="F884" s="35"/>
      <c r="G884" s="35"/>
      <c r="H884" s="35"/>
      <c r="L884" s="35"/>
      <c r="O884" s="32"/>
      <c r="Q884" s="223"/>
      <c r="R884" s="223"/>
      <c r="S884" s="223"/>
    </row>
    <row r="885" spans="4:19" ht="25.5" customHeight="1">
      <c r="D885" s="35"/>
      <c r="E885" s="35"/>
      <c r="F885" s="35"/>
      <c r="G885" s="35"/>
      <c r="H885" s="35"/>
      <c r="L885" s="35"/>
      <c r="O885" s="32"/>
      <c r="Q885" s="223"/>
      <c r="R885" s="223"/>
      <c r="S885" s="223"/>
    </row>
    <row r="886" spans="4:19" ht="25.5" customHeight="1">
      <c r="D886" s="35"/>
      <c r="E886" s="35"/>
      <c r="F886" s="35"/>
      <c r="G886" s="35"/>
      <c r="H886" s="35"/>
      <c r="L886" s="35"/>
      <c r="O886" s="32"/>
      <c r="Q886" s="223"/>
      <c r="R886" s="223"/>
      <c r="S886" s="223"/>
    </row>
    <row r="887" spans="4:19" ht="25.5" customHeight="1">
      <c r="D887" s="35"/>
      <c r="E887" s="35"/>
      <c r="F887" s="35"/>
      <c r="G887" s="35"/>
      <c r="H887" s="35"/>
      <c r="L887" s="35"/>
      <c r="O887" s="32"/>
      <c r="Q887" s="223"/>
      <c r="R887" s="223"/>
      <c r="S887" s="223"/>
    </row>
    <row r="888" spans="4:19" ht="25.5" customHeight="1">
      <c r="D888" s="35"/>
      <c r="E888" s="35"/>
      <c r="F888" s="35"/>
      <c r="G888" s="35"/>
      <c r="H888" s="35"/>
      <c r="L888" s="35"/>
      <c r="O888" s="32"/>
      <c r="Q888" s="223"/>
      <c r="R888" s="223"/>
      <c r="S888" s="223"/>
    </row>
    <row r="889" spans="4:19" ht="25.5" customHeight="1">
      <c r="D889" s="35"/>
      <c r="E889" s="35"/>
      <c r="F889" s="35"/>
      <c r="G889" s="35"/>
      <c r="H889" s="35"/>
      <c r="L889" s="35"/>
      <c r="O889" s="32"/>
      <c r="Q889" s="223"/>
      <c r="R889" s="223"/>
      <c r="S889" s="223"/>
    </row>
    <row r="890" spans="4:19" ht="25.5" customHeight="1">
      <c r="D890" s="35"/>
      <c r="E890" s="35"/>
      <c r="F890" s="35"/>
      <c r="G890" s="35"/>
      <c r="H890" s="35"/>
      <c r="L890" s="35"/>
      <c r="O890" s="32"/>
      <c r="Q890" s="223"/>
      <c r="R890" s="223"/>
      <c r="S890" s="223"/>
    </row>
    <row r="891" spans="4:19" ht="25.5" customHeight="1">
      <c r="D891" s="35"/>
      <c r="E891" s="35"/>
      <c r="F891" s="35"/>
      <c r="G891" s="35"/>
      <c r="H891" s="35"/>
      <c r="L891" s="35"/>
      <c r="O891" s="32"/>
      <c r="Q891" s="223"/>
      <c r="R891" s="223"/>
      <c r="S891" s="223"/>
    </row>
    <row r="892" spans="4:19" ht="25.5" customHeight="1">
      <c r="D892" s="35"/>
      <c r="E892" s="35"/>
      <c r="F892" s="35"/>
      <c r="G892" s="35"/>
      <c r="H892" s="35"/>
      <c r="L892" s="35"/>
      <c r="O892" s="32"/>
      <c r="Q892" s="223"/>
      <c r="R892" s="223"/>
      <c r="S892" s="223"/>
    </row>
    <row r="893" spans="4:19" ht="25.5" customHeight="1">
      <c r="D893" s="35"/>
      <c r="E893" s="35"/>
      <c r="F893" s="35"/>
      <c r="G893" s="35"/>
      <c r="H893" s="35"/>
      <c r="L893" s="35"/>
      <c r="O893" s="32"/>
      <c r="Q893" s="223"/>
      <c r="R893" s="223"/>
      <c r="S893" s="223"/>
    </row>
    <row r="894" spans="4:19" ht="25.5" customHeight="1">
      <c r="D894" s="35"/>
      <c r="E894" s="35"/>
      <c r="F894" s="35"/>
      <c r="G894" s="35"/>
      <c r="H894" s="35"/>
      <c r="L894" s="35"/>
      <c r="O894" s="32"/>
      <c r="Q894" s="223"/>
      <c r="R894" s="223"/>
      <c r="S894" s="223"/>
    </row>
    <row r="895" spans="4:19" ht="25.5" customHeight="1">
      <c r="D895" s="35"/>
      <c r="E895" s="35"/>
      <c r="F895" s="35"/>
      <c r="G895" s="35"/>
      <c r="H895" s="35"/>
      <c r="L895" s="35"/>
      <c r="O895" s="32"/>
      <c r="Q895" s="223"/>
      <c r="R895" s="223"/>
      <c r="S895" s="223"/>
    </row>
    <row r="896" spans="4:19" ht="25.5" customHeight="1">
      <c r="D896" s="35"/>
      <c r="E896" s="35"/>
      <c r="F896" s="35"/>
      <c r="G896" s="35"/>
      <c r="H896" s="35"/>
      <c r="L896" s="35"/>
      <c r="O896" s="32"/>
      <c r="Q896" s="223"/>
      <c r="R896" s="223"/>
      <c r="S896" s="223"/>
    </row>
    <row r="897" spans="4:19" ht="25.5" customHeight="1">
      <c r="D897" s="35"/>
      <c r="E897" s="35"/>
      <c r="F897" s="35"/>
      <c r="G897" s="35"/>
      <c r="H897" s="35"/>
      <c r="L897" s="35"/>
      <c r="O897" s="32"/>
      <c r="Q897" s="223"/>
      <c r="R897" s="223"/>
      <c r="S897" s="223"/>
    </row>
    <row r="898" spans="4:19" ht="25.5" customHeight="1">
      <c r="D898" s="35"/>
      <c r="E898" s="35"/>
      <c r="F898" s="35"/>
      <c r="G898" s="35"/>
      <c r="H898" s="35"/>
      <c r="L898" s="35"/>
      <c r="O898" s="32"/>
      <c r="Q898" s="223"/>
      <c r="R898" s="223"/>
      <c r="S898" s="223"/>
    </row>
    <row r="899" spans="4:19" ht="25.5" customHeight="1">
      <c r="D899" s="35"/>
      <c r="E899" s="35"/>
      <c r="F899" s="35"/>
      <c r="G899" s="35"/>
      <c r="H899" s="35"/>
      <c r="L899" s="35"/>
      <c r="O899" s="32"/>
      <c r="Q899" s="223"/>
      <c r="R899" s="223"/>
      <c r="S899" s="223"/>
    </row>
    <row r="900" spans="4:19" ht="25.5" customHeight="1">
      <c r="D900" s="35"/>
      <c r="E900" s="35"/>
      <c r="F900" s="35"/>
      <c r="G900" s="35"/>
      <c r="H900" s="35"/>
      <c r="L900" s="35"/>
      <c r="O900" s="32"/>
      <c r="Q900" s="223"/>
      <c r="R900" s="223"/>
      <c r="S900" s="223"/>
    </row>
    <row r="901" spans="4:19" ht="25.5" customHeight="1">
      <c r="D901" s="35"/>
      <c r="E901" s="35"/>
      <c r="F901" s="35"/>
      <c r="G901" s="35"/>
      <c r="H901" s="35"/>
      <c r="L901" s="35"/>
      <c r="O901" s="32"/>
      <c r="Q901" s="223"/>
      <c r="R901" s="223"/>
      <c r="S901" s="223"/>
    </row>
    <row r="902" spans="4:19" ht="25.5" customHeight="1">
      <c r="D902" s="35"/>
      <c r="E902" s="35"/>
      <c r="F902" s="35"/>
      <c r="G902" s="35"/>
      <c r="H902" s="35"/>
      <c r="L902" s="35"/>
      <c r="O902" s="32"/>
      <c r="Q902" s="223"/>
      <c r="R902" s="223"/>
      <c r="S902" s="223"/>
    </row>
    <row r="903" spans="4:19" ht="25.5" customHeight="1">
      <c r="D903" s="35"/>
      <c r="E903" s="35"/>
      <c r="F903" s="35"/>
      <c r="G903" s="35"/>
      <c r="H903" s="35"/>
      <c r="L903" s="35"/>
      <c r="O903" s="32"/>
      <c r="Q903" s="223"/>
      <c r="R903" s="223"/>
      <c r="S903" s="223"/>
    </row>
    <row r="904" spans="4:19" ht="25.5" customHeight="1">
      <c r="D904" s="35"/>
      <c r="E904" s="35"/>
      <c r="F904" s="35"/>
      <c r="G904" s="35"/>
      <c r="H904" s="35"/>
      <c r="L904" s="35"/>
      <c r="O904" s="32"/>
      <c r="Q904" s="223"/>
      <c r="R904" s="223"/>
      <c r="S904" s="223"/>
    </row>
    <row r="905" spans="4:19" ht="25.5" customHeight="1">
      <c r="D905" s="35"/>
      <c r="E905" s="35"/>
      <c r="F905" s="35"/>
      <c r="G905" s="35"/>
      <c r="H905" s="35"/>
      <c r="L905" s="35"/>
      <c r="O905" s="32"/>
      <c r="Q905" s="223"/>
      <c r="R905" s="223"/>
      <c r="S905" s="223"/>
    </row>
    <row r="906" spans="4:19" ht="25.5" customHeight="1">
      <c r="D906" s="35"/>
      <c r="E906" s="35"/>
      <c r="F906" s="35"/>
      <c r="G906" s="35"/>
      <c r="H906" s="35"/>
      <c r="L906" s="35"/>
      <c r="O906" s="32"/>
      <c r="Q906" s="223"/>
      <c r="R906" s="223"/>
      <c r="S906" s="223"/>
    </row>
    <row r="907" spans="4:19" ht="25.5" customHeight="1">
      <c r="D907" s="35"/>
      <c r="E907" s="35"/>
      <c r="F907" s="35"/>
      <c r="G907" s="35"/>
      <c r="H907" s="35"/>
      <c r="L907" s="35"/>
      <c r="O907" s="32"/>
      <c r="Q907" s="223"/>
      <c r="R907" s="223"/>
      <c r="S907" s="223"/>
    </row>
    <row r="908" spans="4:19" ht="25.5" customHeight="1">
      <c r="D908" s="35"/>
      <c r="E908" s="35"/>
      <c r="F908" s="35"/>
      <c r="G908" s="35"/>
      <c r="H908" s="35"/>
      <c r="L908" s="35"/>
      <c r="O908" s="32"/>
      <c r="Q908" s="223"/>
      <c r="R908" s="223"/>
      <c r="S908" s="223"/>
    </row>
    <row r="909" spans="4:19" ht="25.5" customHeight="1">
      <c r="D909" s="35"/>
      <c r="E909" s="35"/>
      <c r="F909" s="35"/>
      <c r="G909" s="35"/>
      <c r="H909" s="35"/>
      <c r="L909" s="35"/>
      <c r="O909" s="32"/>
      <c r="Q909" s="223"/>
      <c r="R909" s="223"/>
      <c r="S909" s="223"/>
    </row>
    <row r="910" spans="4:19" ht="25.5" customHeight="1">
      <c r="D910" s="35"/>
      <c r="E910" s="35"/>
      <c r="F910" s="35"/>
      <c r="G910" s="35"/>
      <c r="H910" s="35"/>
      <c r="L910" s="35"/>
      <c r="O910" s="32"/>
      <c r="Q910" s="223"/>
      <c r="R910" s="223"/>
      <c r="S910" s="223"/>
    </row>
    <row r="911" spans="4:19" ht="25.5" customHeight="1">
      <c r="D911" s="35"/>
      <c r="E911" s="35"/>
      <c r="F911" s="35"/>
      <c r="G911" s="35"/>
      <c r="H911" s="35"/>
      <c r="L911" s="35"/>
      <c r="O911" s="32"/>
      <c r="Q911" s="223"/>
      <c r="R911" s="223"/>
      <c r="S911" s="223"/>
    </row>
    <row r="912" spans="4:19" ht="25.5" customHeight="1">
      <c r="D912" s="35"/>
      <c r="E912" s="35"/>
      <c r="F912" s="35"/>
      <c r="G912" s="35"/>
      <c r="H912" s="35"/>
      <c r="L912" s="35"/>
      <c r="O912" s="32"/>
      <c r="Q912" s="223"/>
      <c r="R912" s="223"/>
      <c r="S912" s="223"/>
    </row>
    <row r="913" spans="4:19" ht="25.5" customHeight="1">
      <c r="D913" s="35"/>
      <c r="E913" s="35"/>
      <c r="F913" s="35"/>
      <c r="G913" s="35"/>
      <c r="H913" s="35"/>
      <c r="L913" s="35"/>
      <c r="O913" s="32"/>
      <c r="Q913" s="223"/>
      <c r="R913" s="223"/>
      <c r="S913" s="223"/>
    </row>
    <row r="914" spans="4:19" ht="25.5" customHeight="1">
      <c r="D914" s="35"/>
      <c r="E914" s="35"/>
      <c r="F914" s="35"/>
      <c r="G914" s="35"/>
      <c r="H914" s="35"/>
      <c r="L914" s="35"/>
      <c r="O914" s="32"/>
      <c r="Q914" s="223"/>
      <c r="R914" s="223"/>
      <c r="S914" s="223"/>
    </row>
    <row r="915" spans="4:19" ht="25.5" customHeight="1">
      <c r="D915" s="35"/>
      <c r="E915" s="35"/>
      <c r="F915" s="35"/>
      <c r="G915" s="35"/>
      <c r="H915" s="35"/>
      <c r="L915" s="35"/>
      <c r="O915" s="32"/>
      <c r="Q915" s="223"/>
      <c r="R915" s="223"/>
      <c r="S915" s="223"/>
    </row>
    <row r="916" spans="4:19" ht="25.5" customHeight="1">
      <c r="D916" s="35"/>
      <c r="E916" s="35"/>
      <c r="F916" s="35"/>
      <c r="G916" s="35"/>
      <c r="H916" s="35"/>
      <c r="L916" s="35"/>
      <c r="O916" s="32"/>
      <c r="Q916" s="223"/>
      <c r="R916" s="223"/>
      <c r="S916" s="223"/>
    </row>
    <row r="917" spans="4:19" ht="25.5" customHeight="1">
      <c r="D917" s="35"/>
      <c r="E917" s="35"/>
      <c r="F917" s="35"/>
      <c r="G917" s="35"/>
      <c r="H917" s="35"/>
      <c r="L917" s="35"/>
      <c r="O917" s="32"/>
      <c r="Q917" s="223"/>
      <c r="R917" s="223"/>
      <c r="S917" s="223"/>
    </row>
    <row r="918" spans="4:19" ht="25.5" customHeight="1">
      <c r="D918" s="35"/>
      <c r="E918" s="35"/>
      <c r="F918" s="35"/>
      <c r="G918" s="35"/>
      <c r="H918" s="35"/>
      <c r="L918" s="35"/>
      <c r="O918" s="32"/>
      <c r="Q918" s="223"/>
      <c r="R918" s="223"/>
      <c r="S918" s="223"/>
    </row>
    <row r="919" spans="4:19" ht="25.5" customHeight="1">
      <c r="D919" s="35"/>
      <c r="E919" s="35"/>
      <c r="F919" s="35"/>
      <c r="G919" s="35"/>
      <c r="H919" s="35"/>
      <c r="L919" s="35"/>
      <c r="O919" s="32"/>
      <c r="Q919" s="223"/>
      <c r="R919" s="223"/>
      <c r="S919" s="223"/>
    </row>
    <row r="920" spans="4:19" ht="25.5" customHeight="1">
      <c r="D920" s="35"/>
      <c r="E920" s="35"/>
      <c r="F920" s="35"/>
      <c r="G920" s="35"/>
      <c r="H920" s="35"/>
      <c r="L920" s="35"/>
      <c r="O920" s="32"/>
      <c r="Q920" s="223"/>
      <c r="R920" s="223"/>
      <c r="S920" s="223"/>
    </row>
    <row r="921" spans="4:19" ht="25.5" customHeight="1">
      <c r="D921" s="35"/>
      <c r="E921" s="35"/>
      <c r="F921" s="35"/>
      <c r="G921" s="35"/>
      <c r="H921" s="35"/>
      <c r="L921" s="35"/>
      <c r="O921" s="32"/>
      <c r="Q921" s="223"/>
      <c r="R921" s="223"/>
      <c r="S921" s="223"/>
    </row>
    <row r="922" spans="4:19" ht="25.5" customHeight="1">
      <c r="D922" s="35"/>
      <c r="E922" s="35"/>
      <c r="F922" s="35"/>
      <c r="G922" s="35"/>
      <c r="H922" s="35"/>
      <c r="L922" s="35"/>
      <c r="O922" s="32"/>
      <c r="Q922" s="223"/>
      <c r="R922" s="223"/>
      <c r="S922" s="223"/>
    </row>
    <row r="923" spans="4:19" ht="25.5" customHeight="1">
      <c r="D923" s="35"/>
      <c r="E923" s="35"/>
      <c r="F923" s="35"/>
      <c r="G923" s="35"/>
      <c r="H923" s="35"/>
      <c r="L923" s="35"/>
      <c r="O923" s="32"/>
      <c r="Q923" s="223"/>
      <c r="R923" s="223"/>
      <c r="S923" s="223"/>
    </row>
    <row r="924" spans="4:19" ht="25.5" customHeight="1">
      <c r="D924" s="35"/>
      <c r="E924" s="35"/>
      <c r="F924" s="35"/>
      <c r="G924" s="35"/>
      <c r="H924" s="35"/>
      <c r="L924" s="35"/>
      <c r="O924" s="32"/>
      <c r="Q924" s="223"/>
      <c r="R924" s="223"/>
      <c r="S924" s="223"/>
    </row>
    <row r="925" spans="4:19" ht="25.5" customHeight="1">
      <c r="D925" s="35"/>
      <c r="E925" s="35"/>
      <c r="F925" s="35"/>
      <c r="G925" s="35"/>
      <c r="H925" s="35"/>
      <c r="L925" s="35"/>
      <c r="O925" s="32"/>
      <c r="Q925" s="223"/>
      <c r="R925" s="223"/>
      <c r="S925" s="223"/>
    </row>
    <row r="926" spans="4:19" ht="25.5" customHeight="1">
      <c r="D926" s="35"/>
      <c r="E926" s="35"/>
      <c r="F926" s="35"/>
      <c r="G926" s="35"/>
      <c r="H926" s="35"/>
      <c r="L926" s="35"/>
      <c r="O926" s="32"/>
      <c r="Q926" s="223"/>
      <c r="R926" s="223"/>
      <c r="S926" s="223"/>
    </row>
    <row r="927" spans="4:19" ht="25.5" customHeight="1">
      <c r="D927" s="35"/>
      <c r="E927" s="35"/>
      <c r="F927" s="35"/>
      <c r="G927" s="35"/>
      <c r="H927" s="35"/>
      <c r="L927" s="35"/>
      <c r="O927" s="32"/>
      <c r="Q927" s="223"/>
      <c r="R927" s="223"/>
      <c r="S927" s="223"/>
    </row>
    <row r="928" spans="4:19" ht="25.5" customHeight="1">
      <c r="D928" s="35"/>
      <c r="E928" s="35"/>
      <c r="F928" s="35"/>
      <c r="G928" s="35"/>
      <c r="H928" s="35"/>
      <c r="L928" s="35"/>
      <c r="O928" s="32"/>
      <c r="Q928" s="223"/>
      <c r="R928" s="223"/>
      <c r="S928" s="223"/>
    </row>
    <row r="929" spans="4:19" ht="25.5" customHeight="1">
      <c r="D929" s="35"/>
      <c r="E929" s="35"/>
      <c r="F929" s="35"/>
      <c r="G929" s="35"/>
      <c r="H929" s="35"/>
      <c r="L929" s="35"/>
      <c r="O929" s="32"/>
      <c r="Q929" s="223"/>
      <c r="R929" s="223"/>
      <c r="S929" s="223"/>
    </row>
    <row r="930" spans="4:19" ht="25.5" customHeight="1">
      <c r="D930" s="35"/>
      <c r="E930" s="35"/>
      <c r="F930" s="35"/>
      <c r="G930" s="35"/>
      <c r="H930" s="35"/>
      <c r="L930" s="35"/>
      <c r="O930" s="32"/>
      <c r="Q930" s="223"/>
      <c r="R930" s="223"/>
      <c r="S930" s="223"/>
    </row>
    <row r="931" spans="4:19" ht="25.5" customHeight="1">
      <c r="D931" s="35"/>
      <c r="E931" s="35"/>
      <c r="F931" s="35"/>
      <c r="G931" s="35"/>
      <c r="H931" s="35"/>
      <c r="L931" s="35"/>
      <c r="O931" s="32"/>
      <c r="Q931" s="223"/>
      <c r="R931" s="223"/>
      <c r="S931" s="223"/>
    </row>
    <row r="932" spans="4:19" ht="25.5" customHeight="1">
      <c r="D932" s="35"/>
      <c r="E932" s="35"/>
      <c r="F932" s="35"/>
      <c r="G932" s="35"/>
      <c r="H932" s="35"/>
      <c r="L932" s="35"/>
      <c r="O932" s="32"/>
      <c r="Q932" s="223"/>
      <c r="R932" s="223"/>
      <c r="S932" s="223"/>
    </row>
    <row r="933" spans="4:19" ht="25.5" customHeight="1">
      <c r="D933" s="35"/>
      <c r="E933" s="35"/>
      <c r="F933" s="35"/>
      <c r="G933" s="35"/>
      <c r="H933" s="35"/>
      <c r="L933" s="35"/>
      <c r="O933" s="32"/>
      <c r="Q933" s="223"/>
      <c r="R933" s="223"/>
      <c r="S933" s="223"/>
    </row>
    <row r="934" spans="4:19" ht="25.5" customHeight="1">
      <c r="D934" s="35"/>
      <c r="E934" s="35"/>
      <c r="F934" s="35"/>
      <c r="G934" s="35"/>
      <c r="H934" s="35"/>
      <c r="L934" s="35"/>
      <c r="O934" s="32"/>
      <c r="Q934" s="223"/>
      <c r="R934" s="223"/>
      <c r="S934" s="223"/>
    </row>
    <row r="935" spans="4:19" ht="25.5" customHeight="1">
      <c r="D935" s="35"/>
      <c r="E935" s="35"/>
      <c r="F935" s="35"/>
      <c r="G935" s="35"/>
      <c r="H935" s="35"/>
      <c r="L935" s="35"/>
      <c r="O935" s="32"/>
      <c r="Q935" s="223"/>
      <c r="R935" s="223"/>
      <c r="S935" s="223"/>
    </row>
    <row r="936" spans="4:19" ht="25.5" customHeight="1">
      <c r="D936" s="35"/>
      <c r="E936" s="35"/>
      <c r="F936" s="35"/>
      <c r="G936" s="35"/>
      <c r="H936" s="35"/>
      <c r="L936" s="35"/>
      <c r="O936" s="32"/>
      <c r="Q936" s="223"/>
      <c r="R936" s="223"/>
      <c r="S936" s="223"/>
    </row>
    <row r="937" spans="4:19" ht="25.5" customHeight="1">
      <c r="D937" s="35"/>
      <c r="E937" s="35"/>
      <c r="F937" s="35"/>
      <c r="G937" s="35"/>
      <c r="H937" s="35"/>
      <c r="L937" s="35"/>
      <c r="O937" s="32"/>
      <c r="Q937" s="223"/>
      <c r="R937" s="223"/>
      <c r="S937" s="223"/>
    </row>
    <row r="938" spans="4:19" ht="25.5" customHeight="1">
      <c r="D938" s="35"/>
      <c r="E938" s="35"/>
      <c r="F938" s="35"/>
      <c r="G938" s="35"/>
      <c r="H938" s="35"/>
      <c r="L938" s="35"/>
      <c r="O938" s="32"/>
      <c r="Q938" s="223"/>
      <c r="R938" s="223"/>
      <c r="S938" s="223"/>
    </row>
    <row r="939" spans="4:19" ht="25.5" customHeight="1">
      <c r="D939" s="35"/>
      <c r="E939" s="35"/>
      <c r="F939" s="35"/>
      <c r="G939" s="35"/>
      <c r="H939" s="35"/>
      <c r="L939" s="35"/>
      <c r="O939" s="32"/>
      <c r="Q939" s="223"/>
      <c r="R939" s="223"/>
      <c r="S939" s="223"/>
    </row>
    <row r="940" spans="4:19" ht="25.5" customHeight="1">
      <c r="D940" s="35"/>
      <c r="E940" s="35"/>
      <c r="F940" s="35"/>
      <c r="G940" s="35"/>
      <c r="H940" s="35"/>
      <c r="L940" s="35"/>
      <c r="O940" s="32"/>
      <c r="Q940" s="223"/>
      <c r="R940" s="223"/>
      <c r="S940" s="223"/>
    </row>
    <row r="941" spans="4:19" ht="25.5" customHeight="1">
      <c r="D941" s="35"/>
      <c r="E941" s="35"/>
      <c r="F941" s="35"/>
      <c r="G941" s="35"/>
      <c r="H941" s="35"/>
      <c r="L941" s="35"/>
      <c r="O941" s="32"/>
      <c r="Q941" s="223"/>
      <c r="R941" s="223"/>
      <c r="S941" s="223"/>
    </row>
    <row r="942" spans="4:19" ht="25.5" customHeight="1">
      <c r="D942" s="35"/>
      <c r="E942" s="35"/>
      <c r="F942" s="35"/>
      <c r="G942" s="35"/>
      <c r="H942" s="35"/>
      <c r="L942" s="35"/>
      <c r="O942" s="32"/>
      <c r="Q942" s="223"/>
      <c r="R942" s="223"/>
      <c r="S942" s="223"/>
    </row>
    <row r="943" spans="4:19" ht="25.5" customHeight="1">
      <c r="D943" s="35"/>
      <c r="E943" s="35"/>
      <c r="F943" s="35"/>
      <c r="G943" s="35"/>
      <c r="H943" s="35"/>
      <c r="L943" s="35"/>
      <c r="O943" s="32"/>
      <c r="Q943" s="223"/>
      <c r="R943" s="223"/>
      <c r="S943" s="223"/>
    </row>
    <row r="944" spans="4:19" ht="25.5" customHeight="1">
      <c r="D944" s="35"/>
      <c r="E944" s="35"/>
      <c r="F944" s="35"/>
      <c r="G944" s="35"/>
      <c r="H944" s="35"/>
      <c r="L944" s="35"/>
      <c r="O944" s="32"/>
      <c r="Q944" s="223"/>
      <c r="R944" s="223"/>
      <c r="S944" s="223"/>
    </row>
    <row r="945" spans="4:19" ht="25.5" customHeight="1">
      <c r="D945" s="35"/>
      <c r="E945" s="35"/>
      <c r="F945" s="35"/>
      <c r="G945" s="35"/>
      <c r="H945" s="35"/>
      <c r="L945" s="35"/>
      <c r="O945" s="32"/>
      <c r="Q945" s="223"/>
      <c r="R945" s="223"/>
      <c r="S945" s="223"/>
    </row>
    <row r="946" spans="4:19" ht="25.5" customHeight="1">
      <c r="D946" s="35"/>
      <c r="E946" s="35"/>
      <c r="F946" s="35"/>
      <c r="G946" s="35"/>
      <c r="H946" s="35"/>
      <c r="L946" s="35"/>
      <c r="O946" s="32"/>
      <c r="Q946" s="223"/>
      <c r="R946" s="223"/>
      <c r="S946" s="223"/>
    </row>
    <row r="947" spans="4:19" ht="25.5" customHeight="1">
      <c r="D947" s="35"/>
      <c r="E947" s="35"/>
      <c r="F947" s="35"/>
      <c r="G947" s="35"/>
      <c r="H947" s="35"/>
      <c r="L947" s="35"/>
      <c r="O947" s="32"/>
      <c r="Q947" s="223"/>
      <c r="R947" s="223"/>
      <c r="S947" s="223"/>
    </row>
    <row r="948" spans="4:19" ht="25.5" customHeight="1">
      <c r="D948" s="35"/>
      <c r="E948" s="35"/>
      <c r="F948" s="35"/>
      <c r="G948" s="35"/>
      <c r="H948" s="35"/>
      <c r="L948" s="35"/>
      <c r="O948" s="32"/>
      <c r="Q948" s="223"/>
      <c r="R948" s="223"/>
      <c r="S948" s="223"/>
    </row>
    <row r="949" spans="4:19" ht="25.5" customHeight="1">
      <c r="D949" s="35"/>
      <c r="E949" s="35"/>
      <c r="F949" s="35"/>
      <c r="G949" s="35"/>
      <c r="H949" s="35"/>
      <c r="L949" s="35"/>
      <c r="O949" s="32"/>
      <c r="Q949" s="223"/>
      <c r="R949" s="223"/>
      <c r="S949" s="223"/>
    </row>
    <row r="950" spans="4:19" ht="25.5" customHeight="1">
      <c r="D950" s="35"/>
      <c r="E950" s="35"/>
      <c r="F950" s="35"/>
      <c r="G950" s="35"/>
      <c r="H950" s="35"/>
      <c r="L950" s="35"/>
      <c r="O950" s="32"/>
      <c r="Q950" s="223"/>
      <c r="R950" s="223"/>
      <c r="S950" s="223"/>
    </row>
    <row r="951" spans="4:19" ht="25.5" customHeight="1">
      <c r="D951" s="35"/>
      <c r="E951" s="35"/>
      <c r="F951" s="35"/>
      <c r="G951" s="35"/>
      <c r="H951" s="35"/>
      <c r="L951" s="35"/>
      <c r="O951" s="32"/>
      <c r="Q951" s="223"/>
      <c r="R951" s="223"/>
      <c r="S951" s="223"/>
    </row>
    <row r="952" spans="4:19" ht="25.5" customHeight="1">
      <c r="D952" s="35"/>
      <c r="E952" s="35"/>
      <c r="F952" s="35"/>
      <c r="G952" s="35"/>
      <c r="H952" s="35"/>
      <c r="L952" s="35"/>
      <c r="O952" s="32"/>
      <c r="Q952" s="223"/>
      <c r="R952" s="223"/>
      <c r="S952" s="223"/>
    </row>
    <row r="953" spans="4:19" ht="25.5" customHeight="1">
      <c r="D953" s="35"/>
      <c r="E953" s="35"/>
      <c r="F953" s="35"/>
      <c r="G953" s="35"/>
      <c r="H953" s="35"/>
      <c r="L953" s="35"/>
      <c r="O953" s="32"/>
      <c r="Q953" s="223"/>
      <c r="R953" s="223"/>
      <c r="S953" s="223"/>
    </row>
    <row r="954" spans="4:19" ht="25.5" customHeight="1">
      <c r="D954" s="35"/>
      <c r="E954" s="35"/>
      <c r="F954" s="35"/>
      <c r="G954" s="35"/>
      <c r="H954" s="35"/>
      <c r="L954" s="35"/>
      <c r="O954" s="32"/>
      <c r="Q954" s="223"/>
      <c r="R954" s="223"/>
      <c r="S954" s="223"/>
    </row>
    <row r="955" spans="4:19" ht="25.5" customHeight="1">
      <c r="D955" s="35"/>
      <c r="E955" s="35"/>
      <c r="F955" s="35"/>
      <c r="G955" s="35"/>
      <c r="H955" s="35"/>
      <c r="L955" s="35"/>
      <c r="O955" s="32"/>
      <c r="Q955" s="223"/>
      <c r="R955" s="223"/>
      <c r="S955" s="223"/>
    </row>
    <row r="956" spans="4:19" ht="25.5" customHeight="1">
      <c r="D956" s="35"/>
      <c r="E956" s="35"/>
      <c r="F956" s="35"/>
      <c r="G956" s="35"/>
      <c r="H956" s="35"/>
      <c r="L956" s="35"/>
      <c r="O956" s="32"/>
      <c r="Q956" s="223"/>
      <c r="R956" s="223"/>
      <c r="S956" s="223"/>
    </row>
    <row r="957" spans="4:19" ht="25.5" customHeight="1">
      <c r="D957" s="35"/>
      <c r="E957" s="35"/>
      <c r="F957" s="35"/>
      <c r="G957" s="35"/>
      <c r="H957" s="35"/>
      <c r="L957" s="35"/>
      <c r="O957" s="32"/>
      <c r="Q957" s="223"/>
      <c r="R957" s="223"/>
      <c r="S957" s="223"/>
    </row>
    <row r="958" spans="4:19" ht="25.5" customHeight="1">
      <c r="D958" s="35"/>
      <c r="E958" s="35"/>
      <c r="F958" s="35"/>
      <c r="G958" s="35"/>
      <c r="H958" s="35"/>
      <c r="L958" s="35"/>
      <c r="O958" s="32"/>
      <c r="Q958" s="223"/>
      <c r="R958" s="223"/>
      <c r="S958" s="223"/>
    </row>
    <row r="959" spans="4:19" ht="25.5" customHeight="1">
      <c r="D959" s="35"/>
      <c r="E959" s="35"/>
      <c r="F959" s="35"/>
      <c r="G959" s="35"/>
      <c r="H959" s="35"/>
      <c r="L959" s="35"/>
      <c r="O959" s="32"/>
      <c r="Q959" s="223"/>
      <c r="R959" s="223"/>
      <c r="S959" s="223"/>
    </row>
    <row r="960" spans="4:19" ht="25.5" customHeight="1">
      <c r="D960" s="35"/>
      <c r="E960" s="35"/>
      <c r="F960" s="35"/>
      <c r="G960" s="35"/>
      <c r="H960" s="35"/>
      <c r="L960" s="35"/>
      <c r="O960" s="32"/>
      <c r="Q960" s="223"/>
      <c r="R960" s="223"/>
      <c r="S960" s="223"/>
    </row>
    <row r="961" spans="4:19" ht="25.5" customHeight="1">
      <c r="D961" s="35"/>
      <c r="E961" s="35"/>
      <c r="F961" s="35"/>
      <c r="G961" s="35"/>
      <c r="H961" s="35"/>
      <c r="L961" s="35"/>
      <c r="O961" s="32"/>
      <c r="Q961" s="223"/>
      <c r="R961" s="223"/>
      <c r="S961" s="223"/>
    </row>
    <row r="962" spans="4:19" ht="25.5" customHeight="1">
      <c r="D962" s="35"/>
      <c r="E962" s="35"/>
      <c r="F962" s="35"/>
      <c r="G962" s="35"/>
      <c r="H962" s="35"/>
      <c r="L962" s="35"/>
      <c r="O962" s="32"/>
      <c r="Q962" s="223"/>
      <c r="R962" s="223"/>
      <c r="S962" s="223"/>
    </row>
    <row r="963" spans="4:19" ht="25.5" customHeight="1">
      <c r="D963" s="35"/>
      <c r="E963" s="35"/>
      <c r="F963" s="35"/>
      <c r="G963" s="35"/>
      <c r="H963" s="35"/>
      <c r="L963" s="35"/>
      <c r="O963" s="32"/>
      <c r="Q963" s="223"/>
      <c r="R963" s="223"/>
      <c r="S963" s="223"/>
    </row>
    <row r="964" spans="4:19" ht="25.5" customHeight="1">
      <c r="D964" s="35"/>
      <c r="E964" s="35"/>
      <c r="F964" s="35"/>
      <c r="G964" s="35"/>
      <c r="H964" s="35"/>
      <c r="L964" s="35"/>
      <c r="O964" s="32"/>
      <c r="Q964" s="223"/>
      <c r="R964" s="223"/>
      <c r="S964" s="223"/>
    </row>
    <row r="965" spans="4:19" ht="25.5" customHeight="1">
      <c r="D965" s="35"/>
      <c r="E965" s="35"/>
      <c r="F965" s="35"/>
      <c r="G965" s="35"/>
      <c r="H965" s="35"/>
      <c r="L965" s="35"/>
      <c r="O965" s="32"/>
      <c r="Q965" s="223"/>
      <c r="R965" s="223"/>
      <c r="S965" s="223"/>
    </row>
    <row r="966" spans="4:19" ht="25.5" customHeight="1">
      <c r="D966" s="35"/>
      <c r="E966" s="35"/>
      <c r="F966" s="35"/>
      <c r="G966" s="35"/>
      <c r="H966" s="35"/>
      <c r="L966" s="35"/>
      <c r="O966" s="32"/>
      <c r="Q966" s="223"/>
      <c r="R966" s="223"/>
      <c r="S966" s="223"/>
    </row>
    <row r="967" spans="4:19" ht="25.5" customHeight="1">
      <c r="D967" s="35"/>
      <c r="E967" s="35"/>
      <c r="F967" s="35"/>
      <c r="G967" s="35"/>
      <c r="H967" s="35"/>
      <c r="L967" s="35"/>
      <c r="O967" s="32"/>
      <c r="Q967" s="223"/>
      <c r="R967" s="223"/>
      <c r="S967" s="223"/>
    </row>
    <row r="968" spans="4:19" ht="25.5" customHeight="1">
      <c r="D968" s="35"/>
      <c r="E968" s="35"/>
      <c r="F968" s="35"/>
      <c r="G968" s="35"/>
      <c r="H968" s="35"/>
      <c r="L968" s="35"/>
      <c r="O968" s="32"/>
      <c r="Q968" s="223"/>
      <c r="R968" s="223"/>
      <c r="S968" s="223"/>
    </row>
    <row r="969" spans="4:19" ht="25.5" customHeight="1">
      <c r="D969" s="35"/>
      <c r="E969" s="35"/>
      <c r="F969" s="35"/>
      <c r="G969" s="35"/>
      <c r="H969" s="35"/>
      <c r="L969" s="35"/>
      <c r="O969" s="32"/>
      <c r="Q969" s="223"/>
      <c r="R969" s="223"/>
      <c r="S969" s="223"/>
    </row>
    <row r="970" spans="4:19" ht="25.5" customHeight="1">
      <c r="D970" s="35"/>
      <c r="E970" s="35"/>
      <c r="F970" s="35"/>
      <c r="G970" s="35"/>
      <c r="H970" s="35"/>
      <c r="L970" s="35"/>
      <c r="O970" s="32"/>
      <c r="Q970" s="223"/>
      <c r="R970" s="223"/>
      <c r="S970" s="223"/>
    </row>
    <row r="971" spans="4:19" ht="25.5" customHeight="1">
      <c r="D971" s="35"/>
      <c r="E971" s="35"/>
      <c r="F971" s="35"/>
      <c r="G971" s="35"/>
      <c r="H971" s="35"/>
      <c r="L971" s="35"/>
      <c r="O971" s="32"/>
      <c r="Q971" s="223"/>
      <c r="R971" s="223"/>
      <c r="S971" s="223"/>
    </row>
    <row r="972" spans="4:19" ht="25.5" customHeight="1">
      <c r="D972" s="35"/>
      <c r="E972" s="35"/>
      <c r="F972" s="35"/>
      <c r="G972" s="35"/>
      <c r="H972" s="35"/>
      <c r="L972" s="35"/>
      <c r="O972" s="32"/>
      <c r="Q972" s="223"/>
      <c r="R972" s="223"/>
      <c r="S972" s="223"/>
    </row>
    <row r="973" spans="4:19" ht="25.5" customHeight="1">
      <c r="D973" s="35"/>
      <c r="E973" s="35"/>
      <c r="F973" s="35"/>
      <c r="G973" s="35"/>
      <c r="H973" s="35"/>
      <c r="L973" s="35"/>
      <c r="O973" s="32"/>
      <c r="Q973" s="223"/>
      <c r="R973" s="223"/>
      <c r="S973" s="223"/>
    </row>
    <row r="974" spans="4:19" ht="25.5" customHeight="1">
      <c r="D974" s="35"/>
      <c r="E974" s="35"/>
      <c r="F974" s="35"/>
      <c r="G974" s="35"/>
      <c r="H974" s="35"/>
      <c r="L974" s="35"/>
      <c r="O974" s="32"/>
      <c r="Q974" s="223"/>
      <c r="R974" s="223"/>
      <c r="S974" s="223"/>
    </row>
    <row r="975" spans="4:19" ht="25.5" customHeight="1">
      <c r="D975" s="35"/>
      <c r="E975" s="35"/>
      <c r="F975" s="35"/>
      <c r="G975" s="35"/>
      <c r="H975" s="35"/>
      <c r="L975" s="35"/>
      <c r="O975" s="32"/>
      <c r="Q975" s="223"/>
      <c r="R975" s="223"/>
      <c r="S975" s="223"/>
    </row>
    <row r="976" spans="4:19" ht="25.5" customHeight="1">
      <c r="D976" s="35"/>
      <c r="E976" s="35"/>
      <c r="F976" s="35"/>
      <c r="G976" s="35"/>
      <c r="H976" s="35"/>
      <c r="L976" s="35"/>
      <c r="O976" s="32"/>
      <c r="Q976" s="223"/>
      <c r="R976" s="223"/>
      <c r="S976" s="223"/>
    </row>
    <row r="977" spans="4:19" ht="25.5" customHeight="1">
      <c r="D977" s="35"/>
      <c r="E977" s="35"/>
      <c r="F977" s="35"/>
      <c r="G977" s="35"/>
      <c r="H977" s="35"/>
      <c r="L977" s="35"/>
      <c r="O977" s="32"/>
      <c r="Q977" s="223"/>
      <c r="R977" s="223"/>
      <c r="S977" s="223"/>
    </row>
    <row r="978" spans="4:19" ht="25.5" customHeight="1">
      <c r="D978" s="35"/>
      <c r="E978" s="35"/>
      <c r="F978" s="35"/>
      <c r="G978" s="35"/>
      <c r="H978" s="35"/>
      <c r="L978" s="35"/>
      <c r="O978" s="32"/>
      <c r="Q978" s="223"/>
      <c r="R978" s="223"/>
      <c r="S978" s="223"/>
    </row>
    <row r="979" spans="4:19" ht="25.5" customHeight="1">
      <c r="D979" s="35"/>
      <c r="E979" s="35"/>
      <c r="F979" s="35"/>
      <c r="G979" s="35"/>
      <c r="H979" s="35"/>
      <c r="L979" s="35"/>
      <c r="O979" s="32"/>
      <c r="Q979" s="223"/>
      <c r="R979" s="223"/>
      <c r="S979" s="223"/>
    </row>
    <row r="980" spans="4:19" ht="25.5" customHeight="1">
      <c r="D980" s="35"/>
      <c r="E980" s="35"/>
      <c r="F980" s="35"/>
      <c r="G980" s="35"/>
      <c r="H980" s="35"/>
      <c r="L980" s="35"/>
      <c r="O980" s="32"/>
      <c r="Q980" s="223"/>
      <c r="R980" s="223"/>
      <c r="S980" s="223"/>
    </row>
    <row r="981" spans="4:19" ht="25.5" customHeight="1">
      <c r="D981" s="35"/>
      <c r="E981" s="35"/>
      <c r="F981" s="35"/>
      <c r="G981" s="35"/>
      <c r="H981" s="35"/>
      <c r="L981" s="35"/>
      <c r="O981" s="32"/>
      <c r="Q981" s="223"/>
      <c r="R981" s="223"/>
      <c r="S981" s="223"/>
    </row>
    <row r="982" spans="4:19" ht="25.5" customHeight="1">
      <c r="D982" s="35"/>
      <c r="E982" s="35"/>
      <c r="F982" s="35"/>
      <c r="G982" s="35"/>
      <c r="H982" s="35"/>
      <c r="L982" s="35"/>
      <c r="O982" s="32"/>
      <c r="Q982" s="223"/>
      <c r="R982" s="223"/>
      <c r="S982" s="223"/>
    </row>
    <row r="983" spans="4:19" ht="25.5" customHeight="1">
      <c r="D983" s="35"/>
      <c r="E983" s="35"/>
      <c r="F983" s="35"/>
      <c r="G983" s="35"/>
      <c r="H983" s="35"/>
      <c r="L983" s="35"/>
      <c r="O983" s="32"/>
      <c r="Q983" s="223"/>
      <c r="R983" s="223"/>
      <c r="S983" s="223"/>
    </row>
    <row r="984" spans="4:19" ht="25.5" customHeight="1">
      <c r="D984" s="35"/>
      <c r="E984" s="35"/>
      <c r="F984" s="35"/>
      <c r="G984" s="35"/>
      <c r="H984" s="35"/>
      <c r="L984" s="35"/>
      <c r="O984" s="32"/>
      <c r="Q984" s="223"/>
      <c r="R984" s="223"/>
      <c r="S984" s="223"/>
    </row>
    <row r="985" spans="4:19" ht="25.5" customHeight="1">
      <c r="D985" s="35"/>
      <c r="E985" s="35"/>
      <c r="F985" s="35"/>
      <c r="G985" s="35"/>
      <c r="H985" s="35"/>
      <c r="L985" s="35"/>
      <c r="O985" s="32"/>
      <c r="Q985" s="223"/>
      <c r="R985" s="223"/>
      <c r="S985" s="223"/>
    </row>
    <row r="986" spans="4:19" ht="25.5" customHeight="1">
      <c r="D986" s="35"/>
      <c r="E986" s="35"/>
      <c r="F986" s="35"/>
      <c r="G986" s="35"/>
      <c r="H986" s="35"/>
      <c r="L986" s="35"/>
      <c r="O986" s="32"/>
      <c r="Q986" s="223"/>
      <c r="R986" s="223"/>
      <c r="S986" s="223"/>
    </row>
    <row r="987" spans="4:19" ht="25.5" customHeight="1">
      <c r="D987" s="35"/>
      <c r="E987" s="35"/>
      <c r="F987" s="35"/>
      <c r="G987" s="35"/>
      <c r="H987" s="35"/>
      <c r="L987" s="35"/>
      <c r="O987" s="32"/>
      <c r="Q987" s="223"/>
      <c r="R987" s="223"/>
      <c r="S987" s="223"/>
    </row>
    <row r="988" spans="4:19" ht="25.5" customHeight="1">
      <c r="D988" s="35"/>
      <c r="E988" s="35"/>
      <c r="F988" s="35"/>
      <c r="G988" s="35"/>
      <c r="H988" s="35"/>
      <c r="L988" s="35"/>
      <c r="O988" s="32"/>
      <c r="Q988" s="223"/>
      <c r="R988" s="223"/>
      <c r="S988" s="223"/>
    </row>
    <row r="989" spans="4:19" ht="25.5" customHeight="1">
      <c r="D989" s="35"/>
      <c r="E989" s="35"/>
      <c r="F989" s="35"/>
      <c r="G989" s="35"/>
      <c r="H989" s="35"/>
      <c r="L989" s="35"/>
      <c r="O989" s="32"/>
      <c r="Q989" s="223"/>
      <c r="R989" s="223"/>
      <c r="S989" s="223"/>
    </row>
    <row r="990" spans="4:19" ht="25.5" customHeight="1">
      <c r="D990" s="35"/>
      <c r="E990" s="35"/>
      <c r="F990" s="35"/>
      <c r="G990" s="35"/>
      <c r="H990" s="35"/>
      <c r="L990" s="35"/>
      <c r="O990" s="32"/>
      <c r="Q990" s="223"/>
      <c r="R990" s="223"/>
      <c r="S990" s="223"/>
    </row>
    <row r="991" spans="4:19" ht="25.5" customHeight="1">
      <c r="D991" s="35"/>
      <c r="E991" s="35"/>
      <c r="F991" s="35"/>
      <c r="G991" s="35"/>
      <c r="H991" s="35"/>
      <c r="L991" s="35"/>
      <c r="O991" s="32"/>
      <c r="Q991" s="223"/>
      <c r="R991" s="223"/>
      <c r="S991" s="223"/>
    </row>
    <row r="992" spans="4:19" ht="25.5" customHeight="1">
      <c r="D992" s="35"/>
      <c r="E992" s="35"/>
      <c r="F992" s="35"/>
      <c r="G992" s="35"/>
      <c r="H992" s="35"/>
      <c r="L992" s="35"/>
      <c r="O992" s="32"/>
      <c r="Q992" s="223"/>
      <c r="R992" s="223"/>
      <c r="S992" s="223"/>
    </row>
    <row r="993" spans="4:19" ht="25.5" customHeight="1">
      <c r="D993" s="35"/>
      <c r="E993" s="35"/>
      <c r="F993" s="35"/>
      <c r="G993" s="35"/>
      <c r="H993" s="35"/>
      <c r="L993" s="35"/>
      <c r="O993" s="32"/>
      <c r="Q993" s="223"/>
      <c r="R993" s="223"/>
      <c r="S993" s="223"/>
    </row>
    <row r="994" spans="4:19" ht="25.5" customHeight="1">
      <c r="D994" s="35"/>
      <c r="E994" s="35"/>
      <c r="F994" s="35"/>
      <c r="G994" s="35"/>
      <c r="H994" s="35"/>
      <c r="L994" s="35"/>
      <c r="O994" s="32"/>
      <c r="Q994" s="223"/>
      <c r="R994" s="223"/>
      <c r="S994" s="223"/>
    </row>
    <row r="995" spans="4:19" ht="25.5" customHeight="1">
      <c r="D995" s="35"/>
      <c r="E995" s="35"/>
      <c r="F995" s="35"/>
      <c r="G995" s="35"/>
      <c r="H995" s="35"/>
      <c r="L995" s="35"/>
      <c r="O995" s="32"/>
      <c r="Q995" s="223"/>
      <c r="R995" s="223"/>
      <c r="S995" s="223"/>
    </row>
    <row r="996" spans="4:19" ht="25.5" customHeight="1">
      <c r="D996" s="35"/>
      <c r="E996" s="35"/>
      <c r="F996" s="35"/>
      <c r="G996" s="35"/>
      <c r="H996" s="35"/>
      <c r="L996" s="35"/>
      <c r="O996" s="32"/>
      <c r="Q996" s="223"/>
      <c r="R996" s="223"/>
      <c r="S996" s="223"/>
    </row>
    <row r="997" spans="4:19" ht="25.5" customHeight="1">
      <c r="D997" s="35"/>
      <c r="E997" s="35"/>
      <c r="F997" s="35"/>
      <c r="G997" s="35"/>
      <c r="H997" s="35"/>
      <c r="L997" s="35"/>
      <c r="O997" s="32"/>
      <c r="Q997" s="223"/>
      <c r="R997" s="223"/>
      <c r="S997" s="223"/>
    </row>
    <row r="998" spans="4:19" ht="25.5" customHeight="1">
      <c r="D998" s="35"/>
      <c r="E998" s="35"/>
      <c r="F998" s="35"/>
      <c r="G998" s="35"/>
      <c r="H998" s="35"/>
      <c r="L998" s="35"/>
      <c r="O998" s="32"/>
      <c r="Q998" s="223"/>
      <c r="R998" s="223"/>
      <c r="S998" s="223"/>
    </row>
    <row r="999" spans="4:19" ht="25.5" customHeight="1">
      <c r="D999" s="35"/>
      <c r="E999" s="35"/>
      <c r="F999" s="35"/>
      <c r="G999" s="35"/>
      <c r="H999" s="35"/>
      <c r="L999" s="35"/>
      <c r="O999" s="32"/>
      <c r="Q999" s="223"/>
      <c r="R999" s="223"/>
      <c r="S999" s="223"/>
    </row>
    <row r="1000" spans="4:19" ht="25.5" customHeight="1">
      <c r="D1000" s="35"/>
      <c r="E1000" s="35"/>
      <c r="F1000" s="35"/>
      <c r="G1000" s="35"/>
      <c r="H1000" s="35"/>
      <c r="L1000" s="35"/>
      <c r="O1000" s="32"/>
      <c r="Q1000" s="223"/>
      <c r="R1000" s="223"/>
      <c r="S1000" s="223"/>
    </row>
    <row r="1001" spans="4:19" ht="25.5" customHeight="1">
      <c r="D1001" s="35"/>
      <c r="E1001" s="35"/>
      <c r="F1001" s="35"/>
      <c r="G1001" s="35"/>
      <c r="H1001" s="35"/>
      <c r="L1001" s="35"/>
      <c r="O1001" s="32"/>
      <c r="Q1001" s="223"/>
      <c r="R1001" s="223"/>
      <c r="S1001" s="223"/>
    </row>
    <row r="1002" spans="4:19" ht="25.5" customHeight="1">
      <c r="D1002" s="35"/>
      <c r="E1002" s="35"/>
      <c r="F1002" s="35"/>
      <c r="G1002" s="35"/>
      <c r="H1002" s="35"/>
      <c r="L1002" s="35"/>
      <c r="O1002" s="32"/>
      <c r="Q1002" s="223"/>
      <c r="R1002" s="223"/>
      <c r="S1002" s="223"/>
    </row>
    <row r="1003" spans="4:19" ht="25.5" customHeight="1">
      <c r="D1003" s="35"/>
      <c r="E1003" s="35"/>
      <c r="F1003" s="35"/>
      <c r="G1003" s="35"/>
      <c r="H1003" s="35"/>
      <c r="L1003" s="35"/>
      <c r="O1003" s="32"/>
      <c r="Q1003" s="223"/>
      <c r="R1003" s="223"/>
      <c r="S1003" s="223"/>
    </row>
    <row r="1004" spans="4:19" ht="25.5" customHeight="1">
      <c r="D1004" s="35"/>
      <c r="E1004" s="35"/>
      <c r="F1004" s="35"/>
      <c r="G1004" s="35"/>
      <c r="H1004" s="35"/>
      <c r="L1004" s="35"/>
      <c r="O1004" s="32"/>
      <c r="Q1004" s="223"/>
      <c r="R1004" s="223"/>
      <c r="S1004" s="223"/>
    </row>
    <row r="1005" spans="4:19" ht="25.5" customHeight="1">
      <c r="D1005" s="35"/>
      <c r="E1005" s="35"/>
      <c r="F1005" s="35"/>
      <c r="G1005" s="35"/>
      <c r="H1005" s="35"/>
      <c r="L1005" s="35"/>
      <c r="O1005" s="32"/>
      <c r="Q1005" s="223"/>
      <c r="R1005" s="223"/>
      <c r="S1005" s="223"/>
    </row>
    <row r="1006" spans="4:19" ht="25.5" customHeight="1">
      <c r="D1006" s="35"/>
      <c r="E1006" s="35"/>
      <c r="F1006" s="35"/>
      <c r="G1006" s="35"/>
      <c r="H1006" s="35"/>
      <c r="L1006" s="35"/>
      <c r="O1006" s="32"/>
      <c r="Q1006" s="223"/>
      <c r="R1006" s="223"/>
      <c r="S1006" s="223"/>
    </row>
    <row r="1007" spans="4:19" ht="25.5" customHeight="1">
      <c r="D1007" s="35"/>
      <c r="E1007" s="35"/>
      <c r="F1007" s="35"/>
      <c r="G1007" s="35"/>
      <c r="H1007" s="35"/>
      <c r="L1007" s="35"/>
      <c r="O1007" s="32"/>
      <c r="Q1007" s="223"/>
      <c r="R1007" s="223"/>
      <c r="S1007" s="223"/>
    </row>
    <row r="1008" spans="4:19" ht="25.5" customHeight="1">
      <c r="D1008" s="35"/>
      <c r="E1008" s="35"/>
      <c r="F1008" s="35"/>
      <c r="G1008" s="35"/>
      <c r="H1008" s="35"/>
      <c r="L1008" s="35"/>
      <c r="O1008" s="32"/>
      <c r="Q1008" s="223"/>
      <c r="R1008" s="223"/>
      <c r="S1008" s="223"/>
    </row>
    <row r="1009" spans="4:19" ht="25.5" customHeight="1">
      <c r="D1009" s="35"/>
      <c r="E1009" s="35"/>
      <c r="F1009" s="35"/>
      <c r="G1009" s="35"/>
      <c r="H1009" s="35"/>
      <c r="L1009" s="35"/>
      <c r="O1009" s="32"/>
      <c r="Q1009" s="223"/>
      <c r="R1009" s="223"/>
      <c r="S1009" s="223"/>
    </row>
    <row r="1010" spans="4:19" ht="25.5" customHeight="1">
      <c r="D1010" s="35"/>
      <c r="E1010" s="35"/>
      <c r="F1010" s="35"/>
      <c r="G1010" s="35"/>
      <c r="H1010" s="35"/>
      <c r="L1010" s="35"/>
      <c r="O1010" s="32"/>
      <c r="Q1010" s="223"/>
      <c r="R1010" s="223"/>
      <c r="S1010" s="223"/>
    </row>
    <row r="1011" spans="4:19" ht="25.5" customHeight="1">
      <c r="D1011" s="35"/>
      <c r="E1011" s="35"/>
      <c r="F1011" s="35"/>
      <c r="G1011" s="35"/>
      <c r="H1011" s="35"/>
      <c r="L1011" s="35"/>
      <c r="O1011" s="32"/>
      <c r="Q1011" s="223"/>
      <c r="R1011" s="223"/>
      <c r="S1011" s="223"/>
    </row>
    <row r="1012" spans="4:19" ht="25.5" customHeight="1">
      <c r="D1012" s="35"/>
      <c r="E1012" s="35"/>
      <c r="F1012" s="35"/>
      <c r="G1012" s="35"/>
      <c r="H1012" s="35"/>
      <c r="L1012" s="35"/>
      <c r="O1012" s="32"/>
      <c r="Q1012" s="223"/>
      <c r="R1012" s="223"/>
      <c r="S1012" s="223"/>
    </row>
    <row r="1013" spans="4:19" ht="25.5" customHeight="1">
      <c r="D1013" s="35"/>
      <c r="E1013" s="35"/>
      <c r="F1013" s="35"/>
      <c r="G1013" s="35"/>
      <c r="H1013" s="35"/>
      <c r="L1013" s="35"/>
      <c r="O1013" s="32"/>
      <c r="Q1013" s="223"/>
      <c r="R1013" s="223"/>
      <c r="S1013" s="223"/>
    </row>
    <row r="1014" spans="4:19" ht="23.25" customHeight="1">
      <c r="D1014" s="35"/>
      <c r="E1014" s="35"/>
      <c r="F1014" s="35"/>
      <c r="G1014" s="35"/>
      <c r="H1014" s="35"/>
      <c r="L1014" s="35"/>
      <c r="O1014" s="32"/>
      <c r="Q1014" s="223"/>
      <c r="R1014" s="223"/>
      <c r="S1014" s="223"/>
    </row>
    <row r="1015" spans="4:19" ht="23.25" customHeight="1">
      <c r="D1015" s="35"/>
      <c r="E1015" s="35"/>
      <c r="F1015" s="35"/>
      <c r="G1015" s="35"/>
      <c r="H1015" s="35"/>
      <c r="L1015" s="35"/>
      <c r="O1015" s="32"/>
      <c r="Q1015" s="223"/>
      <c r="R1015" s="223"/>
      <c r="S1015" s="223"/>
    </row>
    <row r="1016" spans="4:19" ht="23.25" customHeight="1">
      <c r="D1016" s="35"/>
      <c r="E1016" s="35"/>
      <c r="F1016" s="35"/>
      <c r="G1016" s="35"/>
      <c r="H1016" s="35"/>
      <c r="L1016" s="35"/>
      <c r="O1016" s="32"/>
      <c r="Q1016" s="223"/>
      <c r="R1016" s="223"/>
      <c r="S1016" s="223"/>
    </row>
    <row r="1017" spans="4:19" ht="23.25" customHeight="1">
      <c r="D1017" s="35"/>
      <c r="E1017" s="35"/>
      <c r="F1017" s="35"/>
      <c r="G1017" s="35"/>
      <c r="H1017" s="35"/>
      <c r="L1017" s="35"/>
      <c r="O1017" s="32"/>
      <c r="Q1017" s="223"/>
      <c r="R1017" s="223"/>
      <c r="S1017" s="223"/>
    </row>
    <row r="1018" spans="4:19" ht="23.25" customHeight="1">
      <c r="D1018" s="35"/>
      <c r="E1018" s="35"/>
      <c r="F1018" s="35"/>
      <c r="G1018" s="35"/>
      <c r="H1018" s="35"/>
      <c r="L1018" s="35"/>
      <c r="O1018" s="32"/>
      <c r="Q1018" s="223"/>
      <c r="R1018" s="223"/>
      <c r="S1018" s="223"/>
    </row>
    <row r="1019" spans="4:19" ht="23.25" customHeight="1">
      <c r="D1019" s="35"/>
      <c r="E1019" s="35"/>
      <c r="F1019" s="35"/>
      <c r="G1019" s="35"/>
      <c r="H1019" s="35"/>
      <c r="L1019" s="35"/>
      <c r="O1019" s="32"/>
      <c r="Q1019" s="223"/>
      <c r="R1019" s="223"/>
      <c r="S1019" s="223"/>
    </row>
    <row r="1020" spans="4:19" ht="23.25" customHeight="1">
      <c r="D1020" s="35"/>
      <c r="E1020" s="35"/>
      <c r="F1020" s="35"/>
      <c r="G1020" s="35"/>
      <c r="H1020" s="35"/>
      <c r="L1020" s="35"/>
      <c r="O1020" s="32"/>
      <c r="Q1020" s="223"/>
      <c r="R1020" s="223"/>
      <c r="S1020" s="223"/>
    </row>
    <row r="1021" spans="4:19" ht="23.25" customHeight="1">
      <c r="D1021" s="35"/>
      <c r="E1021" s="35"/>
      <c r="F1021" s="35"/>
      <c r="G1021" s="35"/>
      <c r="H1021" s="35"/>
      <c r="L1021" s="35"/>
      <c r="O1021" s="32"/>
      <c r="Q1021" s="223"/>
      <c r="R1021" s="223"/>
      <c r="S1021" s="223"/>
    </row>
    <row r="1022" spans="4:19" ht="23.25" customHeight="1">
      <c r="D1022" s="35"/>
      <c r="E1022" s="35"/>
      <c r="F1022" s="35"/>
      <c r="G1022" s="35"/>
      <c r="H1022" s="35"/>
      <c r="L1022" s="35"/>
      <c r="O1022" s="32"/>
      <c r="Q1022" s="223"/>
      <c r="R1022" s="223"/>
      <c r="S1022" s="223"/>
    </row>
    <row r="1023" spans="4:19" ht="23.25" customHeight="1">
      <c r="D1023" s="35"/>
      <c r="E1023" s="35"/>
      <c r="F1023" s="35"/>
      <c r="G1023" s="35"/>
      <c r="H1023" s="35"/>
      <c r="L1023" s="35"/>
      <c r="O1023" s="32"/>
      <c r="Q1023" s="223"/>
      <c r="R1023" s="223"/>
      <c r="S1023" s="223"/>
    </row>
    <row r="1024" spans="4:19" ht="23.25" customHeight="1">
      <c r="D1024" s="35"/>
      <c r="E1024" s="35"/>
      <c r="F1024" s="35"/>
      <c r="G1024" s="35"/>
      <c r="H1024" s="35"/>
      <c r="L1024" s="35"/>
      <c r="O1024" s="32"/>
      <c r="Q1024" s="223"/>
      <c r="R1024" s="223"/>
      <c r="S1024" s="223"/>
    </row>
    <row r="1025" spans="4:19" ht="23.25" customHeight="1">
      <c r="D1025" s="35"/>
      <c r="E1025" s="35"/>
      <c r="F1025" s="35"/>
      <c r="G1025" s="35"/>
      <c r="H1025" s="35"/>
      <c r="L1025" s="35"/>
      <c r="O1025" s="32"/>
      <c r="Q1025" s="223"/>
      <c r="R1025" s="223"/>
      <c r="S1025" s="223"/>
    </row>
    <row r="1026" spans="4:19" ht="23.25" customHeight="1">
      <c r="D1026" s="35"/>
      <c r="E1026" s="35"/>
      <c r="F1026" s="35"/>
      <c r="G1026" s="35"/>
      <c r="H1026" s="35"/>
      <c r="L1026" s="35"/>
      <c r="O1026" s="32"/>
      <c r="Q1026" s="223"/>
      <c r="R1026" s="223"/>
      <c r="S1026" s="223"/>
    </row>
  </sheetData>
  <sheetProtection formatCells="0" formatColumns="0" formatRows="0" insertColumns="0" insertRows="0" insertHyperlinks="0" deleteColumns="0" deleteRows="0" sort="0" autoFilter="0" pivotTables="0"/>
  <mergeCells count="8">
    <mergeCell ref="P73:T73"/>
    <mergeCell ref="C27:C28"/>
    <mergeCell ref="D158:F158"/>
    <mergeCell ref="D154:F154"/>
    <mergeCell ref="D155:F155"/>
    <mergeCell ref="D156:F156"/>
    <mergeCell ref="D157:F157"/>
    <mergeCell ref="C29:C30"/>
  </mergeCells>
  <conditionalFormatting sqref="F145:F149">
    <cfRule type="cellIs" dxfId="75" priority="75" operator="equal">
      <formula>"NÃO PREENCHE OS REQUISITOS"</formula>
    </cfRule>
  </conditionalFormatting>
  <conditionalFormatting sqref="O75">
    <cfRule type="cellIs" dxfId="74" priority="37" operator="equal">
      <formula>"NÃO PREENCHE OS REQUISITOS"</formula>
    </cfRule>
  </conditionalFormatting>
  <conditionalFormatting sqref="O78">
    <cfRule type="cellIs" dxfId="73" priority="79" operator="equal">
      <formula>"NÃO PREENCHE OS REQUISITOS"</formula>
    </cfRule>
  </conditionalFormatting>
  <conditionalFormatting sqref="O81">
    <cfRule type="cellIs" dxfId="72" priority="42" operator="equal">
      <formula>"NÃO PREENCHE OS REQUISITOS"</formula>
    </cfRule>
  </conditionalFormatting>
  <conditionalFormatting sqref="O84">
    <cfRule type="cellIs" dxfId="71" priority="82" operator="equal">
      <formula>"NÃO PREENCHE OS REQUISITOS"</formula>
    </cfRule>
  </conditionalFormatting>
  <conditionalFormatting sqref="O87">
    <cfRule type="cellIs" dxfId="70" priority="35" operator="equal">
      <formula>"NÃO PREENCHE OS REQUISITOS"</formula>
    </cfRule>
  </conditionalFormatting>
  <conditionalFormatting sqref="O90">
    <cfRule type="cellIs" dxfId="69" priority="32" operator="equal">
      <formula>"NÃO PREENCHE OS REQUISITOS"</formula>
    </cfRule>
  </conditionalFormatting>
  <conditionalFormatting sqref="O93">
    <cfRule type="cellIs" dxfId="68" priority="26" operator="equal">
      <formula>"NÃO PREENCHE OS REQUISITOS"</formula>
    </cfRule>
  </conditionalFormatting>
  <conditionalFormatting sqref="O96">
    <cfRule type="cellIs" dxfId="67" priority="22" operator="equal">
      <formula>"NÃO PREENCHE OS REQUISITOS"</formula>
    </cfRule>
  </conditionalFormatting>
  <conditionalFormatting sqref="O99">
    <cfRule type="cellIs" dxfId="66" priority="21" operator="equal">
      <formula>"NÃO PREENCHE OS REQUISITOS"</formula>
    </cfRule>
  </conditionalFormatting>
  <conditionalFormatting sqref="O102">
    <cfRule type="cellIs" dxfId="65" priority="19" operator="equal">
      <formula>"NÃO PREENCHE OS REQUISITOS"</formula>
    </cfRule>
  </conditionalFormatting>
  <conditionalFormatting sqref="O105">
    <cfRule type="cellIs" dxfId="64" priority="17" operator="equal">
      <formula>"NÃO PREENCHE OS REQUISITOS"</formula>
    </cfRule>
  </conditionalFormatting>
  <conditionalFormatting sqref="O108">
    <cfRule type="cellIs" dxfId="63" priority="13" operator="equal">
      <formula>"NÃO PREENCHE OS REQUISITOS"</formula>
    </cfRule>
  </conditionalFormatting>
  <conditionalFormatting sqref="O111">
    <cfRule type="cellIs" dxfId="62" priority="11" operator="equal">
      <formula>"NÃO PREENCHE OS REQUISITOS"</formula>
    </cfRule>
  </conditionalFormatting>
  <conditionalFormatting sqref="O114">
    <cfRule type="cellIs" dxfId="61" priority="9" operator="equal">
      <formula>"NÃO PREENCHE OS REQUISITOS"</formula>
    </cfRule>
  </conditionalFormatting>
  <conditionalFormatting sqref="O117">
    <cfRule type="cellIs" dxfId="60" priority="7" operator="equal">
      <formula>"NÃO PREENCHE OS REQUISITOS"</formula>
    </cfRule>
  </conditionalFormatting>
  <conditionalFormatting sqref="O120">
    <cfRule type="cellIs" dxfId="59" priority="6" operator="equal">
      <formula>"NÃO PREENCHE OS REQUISITOS"</formula>
    </cfRule>
  </conditionalFormatting>
  <conditionalFormatting sqref="O123">
    <cfRule type="cellIs" dxfId="58" priority="1" operator="equal">
      <formula>"NÃO PREENCHE OS REQUISITOS"</formula>
    </cfRule>
  </conditionalFormatting>
  <conditionalFormatting sqref="O126">
    <cfRule type="cellIs" dxfId="57" priority="87" operator="equal">
      <formula>"NÃO PREENCHE OS REQUISITOS"</formula>
    </cfRule>
  </conditionalFormatting>
  <conditionalFormatting sqref="O129:P129">
    <cfRule type="cellIs" dxfId="56" priority="5" operator="equal">
      <formula>"NÃO PREENCHE OS REQUISITOS"</formula>
    </cfRule>
  </conditionalFormatting>
  <conditionalFormatting sqref="O132:P132">
    <cfRule type="cellIs" dxfId="55" priority="4" operator="equal">
      <formula>"NÃO PREENCHE OS REQUISITOS"</formula>
    </cfRule>
  </conditionalFormatting>
  <conditionalFormatting sqref="O135:P135">
    <cfRule type="cellIs" dxfId="54" priority="3" operator="equal">
      <formula>"NÃO PREENCHE OS REQUISITOS"</formula>
    </cfRule>
  </conditionalFormatting>
  <conditionalFormatting sqref="O138:P138">
    <cfRule type="cellIs" dxfId="53" priority="76" operator="equal">
      <formula>"NÃO PREENCHE OS REQUISITOS"</formula>
    </cfRule>
  </conditionalFormatting>
  <conditionalFormatting sqref="O141:P141">
    <cfRule type="cellIs" dxfId="52" priority="77" operator="equal">
      <formula>"NÃO PREENCHE OS REQUISITOS"</formula>
    </cfRule>
  </conditionalFormatting>
  <conditionalFormatting sqref="Q75:T75">
    <cfRule type="cellIs" dxfId="51" priority="36" operator="equal">
      <formula>"NÃO PREENCHE OS REQUISITOS"</formula>
    </cfRule>
  </conditionalFormatting>
  <conditionalFormatting sqref="Q78:T78">
    <cfRule type="cellIs" dxfId="50" priority="38" operator="equal">
      <formula>"NÃO PREENCHE OS REQUISITOS"</formula>
    </cfRule>
  </conditionalFormatting>
  <conditionalFormatting sqref="Q81:T81">
    <cfRule type="cellIs" dxfId="49" priority="40" operator="equal">
      <formula>"NÃO PREENCHE OS REQUISITOS"</formula>
    </cfRule>
  </conditionalFormatting>
  <conditionalFormatting sqref="Q84:T84">
    <cfRule type="cellIs" dxfId="48" priority="54" operator="equal">
      <formula>"NÃO PREENCHE OS REQUISITOS"</formula>
    </cfRule>
  </conditionalFormatting>
  <conditionalFormatting sqref="Q126:T126">
    <cfRule type="cellIs" dxfId="47" priority="49" operator="equal">
      <formula>"NÃO PREENCHE OS REQUISITOS"</formula>
    </cfRule>
  </conditionalFormatting>
  <conditionalFormatting sqref="T87">
    <cfRule type="cellIs" dxfId="46" priority="33" operator="equal">
      <formula>"NÃO PREENCHE OS REQUISITOS"</formula>
    </cfRule>
  </conditionalFormatting>
  <conditionalFormatting sqref="T90">
    <cfRule type="cellIs" dxfId="45" priority="31" operator="equal">
      <formula>"NÃO PREENCHE OS REQUISITOS"</formula>
    </cfRule>
  </conditionalFormatting>
  <conditionalFormatting sqref="T93">
    <cfRule type="cellIs" dxfId="44" priority="25" operator="equal">
      <formula>"NÃO PREENCHE OS REQUISITOS"</formula>
    </cfRule>
  </conditionalFormatting>
  <conditionalFormatting sqref="T96">
    <cfRule type="cellIs" dxfId="43" priority="27" operator="equal">
      <formula>"NÃO PREENCHE OS REQUISITOS"</formula>
    </cfRule>
  </conditionalFormatting>
  <conditionalFormatting sqref="T99">
    <cfRule type="cellIs" dxfId="42" priority="20" operator="equal">
      <formula>"NÃO PREENCHE OS REQUISITOS"</formula>
    </cfRule>
  </conditionalFormatting>
  <conditionalFormatting sqref="T102">
    <cfRule type="cellIs" dxfId="41" priority="18" operator="equal">
      <formula>"NÃO PREENCHE OS REQUISITOS"</formula>
    </cfRule>
  </conditionalFormatting>
  <conditionalFormatting sqref="T105">
    <cfRule type="cellIs" dxfId="40" priority="16" operator="equal">
      <formula>"NÃO PREENCHE OS REQUISITOS"</formula>
    </cfRule>
  </conditionalFormatting>
  <conditionalFormatting sqref="T108">
    <cfRule type="cellIs" dxfId="39" priority="12" operator="equal">
      <formula>"NÃO PREENCHE OS REQUISITOS"</formula>
    </cfRule>
  </conditionalFormatting>
  <conditionalFormatting sqref="T111">
    <cfRule type="cellIs" dxfId="38" priority="10" operator="equal">
      <formula>"NÃO PREENCHE OS REQUISITOS"</formula>
    </cfRule>
  </conditionalFormatting>
  <conditionalFormatting sqref="T114">
    <cfRule type="cellIs" dxfId="37" priority="8" operator="equal">
      <formula>"NÃO PREENCHE OS REQUISITOS"</formula>
    </cfRule>
  </conditionalFormatting>
  <dataValidations count="1">
    <dataValidation allowBlank="1" showErrorMessage="1" sqref="G28:G30 D28:F28 D30:F30" xr:uid="{6F9C125E-4466-4098-83E8-93D5144E9903}"/>
  </dataValidations>
  <pageMargins left="0.511811024" right="0.511811024" top="0.78740157499999996" bottom="0.78740157499999996"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3:F70"/>
  <sheetViews>
    <sheetView showGridLines="0" topLeftCell="B49" zoomScale="85" zoomScaleNormal="85" workbookViewId="0">
      <selection activeCell="E59" sqref="E59"/>
    </sheetView>
  </sheetViews>
  <sheetFormatPr defaultColWidth="14.42578125" defaultRowHeight="0" customHeight="1" zeroHeight="1"/>
  <cols>
    <col min="1" max="2" width="1.85546875" customWidth="1"/>
    <col min="3" max="3" width="112.42578125" customWidth="1"/>
    <col min="4" max="5" width="24" customWidth="1"/>
    <col min="6" max="10" width="0" hidden="1" customWidth="1"/>
  </cols>
  <sheetData>
    <row r="3" spans="1:6" ht="24" customHeight="1">
      <c r="A3" s="236"/>
      <c r="B3" s="236"/>
      <c r="C3" s="298" t="s">
        <v>243</v>
      </c>
      <c r="D3" s="298"/>
      <c r="E3" s="298"/>
    </row>
    <row r="4" spans="1:6" ht="18.75" customHeight="1">
      <c r="A4" s="236"/>
      <c r="B4" s="236"/>
      <c r="C4" s="11" t="s">
        <v>1</v>
      </c>
      <c r="D4" s="180" t="s">
        <v>2</v>
      </c>
      <c r="E4" s="303" t="s">
        <v>3</v>
      </c>
      <c r="F4" s="304"/>
    </row>
    <row r="5" spans="1:6" ht="18.75" customHeight="1">
      <c r="A5" s="236"/>
      <c r="B5" s="236"/>
      <c r="C5" s="1" t="s">
        <v>4</v>
      </c>
      <c r="D5" s="299" t="s">
        <v>5</v>
      </c>
      <c r="E5" s="300"/>
    </row>
    <row r="6" spans="1:6" ht="21" customHeight="1">
      <c r="A6" s="236"/>
      <c r="B6" s="236"/>
      <c r="C6" s="2">
        <f>Questionario!B4</f>
        <v>0</v>
      </c>
      <c r="D6" s="301">
        <f>Questionario!C4</f>
        <v>0</v>
      </c>
      <c r="E6" s="302"/>
    </row>
    <row r="7" spans="1:6" ht="19.5" customHeight="1">
      <c r="A7" s="236"/>
      <c r="B7" s="236"/>
      <c r="C7" s="63" t="s">
        <v>244</v>
      </c>
      <c r="D7" s="63" t="s">
        <v>245</v>
      </c>
      <c r="E7" s="63" t="s">
        <v>246</v>
      </c>
    </row>
    <row r="8" spans="1:6" ht="4.5" customHeight="1">
      <c r="A8" s="236"/>
      <c r="B8" s="236"/>
      <c r="C8" s="11"/>
    </row>
    <row r="9" spans="1:6" ht="45.75" customHeight="1" thickBot="1">
      <c r="A9" s="236"/>
      <c r="B9" s="236"/>
      <c r="C9" s="205" t="s">
        <v>247</v>
      </c>
      <c r="D9" s="93" t="str">
        <f>Cálculo!O75</f>
        <v>Não preenche os requisitos</v>
      </c>
      <c r="E9" s="93" t="str">
        <f>Cálculo!T75</f>
        <v>Não preenche os requisitos</v>
      </c>
    </row>
    <row r="10" spans="1:6" ht="4.5" customHeight="1" thickTop="1">
      <c r="A10" s="236"/>
      <c r="B10" s="236"/>
      <c r="C10" s="94"/>
      <c r="D10" s="31"/>
      <c r="E10" s="31"/>
    </row>
    <row r="11" spans="1:6" ht="45.75" customHeight="1" thickBot="1">
      <c r="A11" s="236"/>
      <c r="B11" s="236"/>
      <c r="C11" s="206" t="s">
        <v>248</v>
      </c>
      <c r="D11" s="93" t="str">
        <f>Cálculo!O78</f>
        <v>Não preenche os requisitos</v>
      </c>
      <c r="E11" s="93" t="str">
        <f>Cálculo!T78</f>
        <v>Não preenche os requisitos</v>
      </c>
    </row>
    <row r="12" spans="1:6" ht="4.5" customHeight="1" thickTop="1">
      <c r="A12" s="236"/>
      <c r="B12" s="236"/>
      <c r="C12" s="94"/>
      <c r="D12" s="31"/>
      <c r="E12" s="31"/>
    </row>
    <row r="13" spans="1:6" ht="45.75" customHeight="1" thickBot="1">
      <c r="A13" s="236"/>
      <c r="B13" s="236"/>
      <c r="C13" s="205" t="s">
        <v>249</v>
      </c>
      <c r="D13" s="93" t="str">
        <f>Cálculo!O81</f>
        <v>Não preenche os requisitos</v>
      </c>
      <c r="E13" s="93" t="str">
        <f>Cálculo!T81</f>
        <v>Não preenche os requisitos</v>
      </c>
    </row>
    <row r="14" spans="1:6" ht="4.5" customHeight="1" thickTop="1">
      <c r="A14" s="236"/>
      <c r="B14" s="236"/>
      <c r="C14" s="94"/>
      <c r="D14" s="31"/>
      <c r="E14" s="31"/>
    </row>
    <row r="15" spans="1:6" s="57" customFormat="1" ht="35.25" customHeight="1" thickBot="1">
      <c r="A15" s="207"/>
      <c r="B15" s="207"/>
      <c r="C15" s="206" t="s">
        <v>250</v>
      </c>
      <c r="D15" s="93" t="str">
        <f>Cálculo!O84</f>
        <v>Não preenche os requisitos</v>
      </c>
      <c r="E15" s="93" t="str">
        <f>Cálculo!T84</f>
        <v>Não preenche os requisitos</v>
      </c>
    </row>
    <row r="16" spans="1:6" ht="4.5" customHeight="1" thickTop="1">
      <c r="A16" s="236"/>
      <c r="B16" s="236"/>
      <c r="C16" s="94"/>
      <c r="D16" s="31"/>
      <c r="E16" s="31"/>
    </row>
    <row r="17" spans="1:5" ht="45.75" customHeight="1" thickBot="1">
      <c r="A17" s="236"/>
      <c r="B17" s="236"/>
      <c r="C17" s="205" t="s">
        <v>251</v>
      </c>
      <c r="D17" s="93" t="str">
        <f>Cálculo!O87</f>
        <v>Não preenche os requisitos</v>
      </c>
      <c r="E17" s="93" t="str">
        <f>Cálculo!T87</f>
        <v>Não preenche os requisitos</v>
      </c>
    </row>
    <row r="18" spans="1:5" ht="4.5" customHeight="1" thickTop="1">
      <c r="A18" s="236"/>
      <c r="B18" s="236"/>
      <c r="C18" s="94"/>
      <c r="D18" s="31"/>
      <c r="E18" s="31"/>
    </row>
    <row r="19" spans="1:5" ht="35.25" customHeight="1" thickBot="1">
      <c r="A19" s="18"/>
      <c r="B19" s="18"/>
      <c r="C19" s="206" t="s">
        <v>252</v>
      </c>
      <c r="D19" s="93" t="str">
        <f>Cálculo!O90</f>
        <v>Não preenche os requisitos</v>
      </c>
      <c r="E19" s="93" t="str">
        <f>Cálculo!T90</f>
        <v>Não preenche os requisitos</v>
      </c>
    </row>
    <row r="20" spans="1:5" ht="4.5" customHeight="1" thickTop="1">
      <c r="A20" s="236"/>
      <c r="B20" s="236"/>
      <c r="C20" s="94"/>
      <c r="D20" s="31"/>
      <c r="E20" s="31"/>
    </row>
    <row r="21" spans="1:5" ht="62.25" customHeight="1" thickBot="1">
      <c r="A21" s="236"/>
      <c r="B21" s="236"/>
      <c r="C21" s="205" t="s">
        <v>253</v>
      </c>
      <c r="D21" s="93" t="str">
        <f>Cálculo!O93</f>
        <v>Não preenche os requisitos</v>
      </c>
      <c r="E21" s="93" t="str">
        <f>Cálculo!T93</f>
        <v>Não preenche os requisitos</v>
      </c>
    </row>
    <row r="22" spans="1:5" ht="4.5" customHeight="1" thickTop="1">
      <c r="A22" s="236"/>
      <c r="B22" s="236"/>
      <c r="C22" s="94"/>
      <c r="D22" s="31"/>
      <c r="E22" s="31"/>
    </row>
    <row r="23" spans="1:5" ht="45.75" customHeight="1" thickBot="1">
      <c r="A23" s="18"/>
      <c r="B23" s="18"/>
      <c r="C23" s="206" t="s">
        <v>254</v>
      </c>
      <c r="D23" s="93" t="str">
        <f>Cálculo!O96</f>
        <v>Não preenche os requisitos</v>
      </c>
      <c r="E23" s="93" t="str">
        <f>Cálculo!T96</f>
        <v>Não preenche os requisitos</v>
      </c>
    </row>
    <row r="24" spans="1:5" ht="4.5" customHeight="1" thickTop="1">
      <c r="A24" s="236"/>
      <c r="B24" s="236"/>
      <c r="C24" s="94"/>
      <c r="D24" s="31"/>
      <c r="E24" s="31"/>
    </row>
    <row r="25" spans="1:5" ht="105.75" thickBot="1">
      <c r="A25" s="236"/>
      <c r="B25" s="236"/>
      <c r="C25" s="205" t="s">
        <v>255</v>
      </c>
      <c r="D25" s="93" t="str">
        <f>Cálculo!O99</f>
        <v>Não preenche os requisitos</v>
      </c>
      <c r="E25" s="93" t="str">
        <f>Cálculo!T99</f>
        <v>Não preenche os requisitos</v>
      </c>
    </row>
    <row r="26" spans="1:5" ht="4.5" customHeight="1" thickTop="1">
      <c r="A26" s="236"/>
      <c r="B26" s="236"/>
      <c r="C26" s="94"/>
      <c r="D26" s="31"/>
      <c r="E26" s="31"/>
    </row>
    <row r="27" spans="1:5" ht="60.75" customHeight="1" thickBot="1">
      <c r="A27" s="18"/>
      <c r="B27" s="18"/>
      <c r="C27" s="206" t="s">
        <v>256</v>
      </c>
      <c r="D27" s="93" t="str">
        <f>Cálculo!O102</f>
        <v>Não preenche os requisitos</v>
      </c>
      <c r="E27" s="93" t="str">
        <f>Cálculo!T102</f>
        <v>Não preenche os requisitos</v>
      </c>
    </row>
    <row r="28" spans="1:5" ht="4.5" customHeight="1" thickTop="1">
      <c r="A28" s="236"/>
      <c r="B28" s="236"/>
      <c r="C28" s="94"/>
      <c r="D28" s="31"/>
      <c r="E28" s="31"/>
    </row>
    <row r="29" spans="1:5" ht="75.75" thickBot="1">
      <c r="A29" s="236"/>
      <c r="B29" s="236"/>
      <c r="C29" s="205" t="s">
        <v>257</v>
      </c>
      <c r="D29" s="93" t="str">
        <f>Cálculo!O105</f>
        <v>Não preenche os requisitos</v>
      </c>
      <c r="E29" s="93" t="str">
        <f>Cálculo!T105</f>
        <v>Não preenche os requisitos</v>
      </c>
    </row>
    <row r="30" spans="1:5" ht="4.5" customHeight="1" thickTop="1">
      <c r="A30" s="236"/>
      <c r="B30" s="236"/>
      <c r="C30" s="94"/>
      <c r="D30" s="31"/>
      <c r="E30" s="31"/>
    </row>
    <row r="31" spans="1:5" ht="93" customHeight="1" thickBot="1">
      <c r="A31" s="18"/>
      <c r="B31" s="18"/>
      <c r="C31" s="206" t="s">
        <v>258</v>
      </c>
      <c r="D31" s="93" t="str">
        <f>Cálculo!O108</f>
        <v>Não preenche os requisitos</v>
      </c>
      <c r="E31" s="95" t="s">
        <v>259</v>
      </c>
    </row>
    <row r="32" spans="1:5" ht="4.5" customHeight="1" thickTop="1">
      <c r="A32" s="236"/>
      <c r="B32" s="236"/>
      <c r="C32" s="94"/>
      <c r="D32" s="31"/>
      <c r="E32" s="31"/>
    </row>
    <row r="33" spans="1:5" ht="78.75" customHeight="1" thickBot="1">
      <c r="A33" s="18"/>
      <c r="B33" s="18"/>
      <c r="C33" s="205" t="s">
        <v>260</v>
      </c>
      <c r="D33" s="93" t="str">
        <f>Cálculo!O111</f>
        <v>Não preenche os requisitos</v>
      </c>
      <c r="E33" s="95" t="s">
        <v>259</v>
      </c>
    </row>
    <row r="34" spans="1:5" ht="4.5" customHeight="1" thickTop="1">
      <c r="A34" s="236"/>
      <c r="B34" s="236"/>
      <c r="C34" s="94"/>
      <c r="D34" s="31"/>
      <c r="E34" s="31"/>
    </row>
    <row r="35" spans="1:5" ht="45.75" customHeight="1" thickBot="1">
      <c r="A35" s="236"/>
      <c r="B35" s="236"/>
      <c r="C35" s="206" t="s">
        <v>261</v>
      </c>
      <c r="D35" s="93" t="str">
        <f>Cálculo!O114</f>
        <v>Não preenche os requisitos</v>
      </c>
      <c r="E35" s="95" t="s">
        <v>259</v>
      </c>
    </row>
    <row r="36" spans="1:5" ht="4.5" customHeight="1" thickTop="1">
      <c r="A36" s="236"/>
      <c r="B36" s="236"/>
      <c r="C36" s="94"/>
      <c r="D36" s="31"/>
      <c r="E36" s="31"/>
    </row>
    <row r="37" spans="1:5" ht="60.75" customHeight="1" thickBot="1">
      <c r="A37" s="18"/>
      <c r="B37" s="18"/>
      <c r="C37" s="205" t="s">
        <v>262</v>
      </c>
      <c r="D37" s="93" t="str">
        <f>Cálculo!O117</f>
        <v>Não preenche os requisitos</v>
      </c>
      <c r="E37" s="95" t="s">
        <v>259</v>
      </c>
    </row>
    <row r="38" spans="1:5" ht="4.5" customHeight="1" thickTop="1">
      <c r="A38" s="236"/>
      <c r="B38" s="236"/>
      <c r="C38" s="94"/>
      <c r="D38" s="31"/>
      <c r="E38" s="31"/>
    </row>
    <row r="39" spans="1:5" ht="217.5" customHeight="1" thickBot="1">
      <c r="A39" s="236"/>
      <c r="B39" s="236"/>
      <c r="C39" s="206" t="s">
        <v>263</v>
      </c>
      <c r="D39" s="93" t="str">
        <f>Cálculo!O120</f>
        <v>Não preenche os requisitos</v>
      </c>
      <c r="E39" s="95" t="s">
        <v>259</v>
      </c>
    </row>
    <row r="40" spans="1:5" ht="4.5" customHeight="1" thickTop="1">
      <c r="A40" s="236"/>
      <c r="B40" s="236"/>
      <c r="C40" s="94"/>
      <c r="D40" s="31"/>
      <c r="E40" s="31"/>
    </row>
    <row r="41" spans="1:5" ht="35.25" customHeight="1" thickBot="1">
      <c r="A41" s="18"/>
      <c r="B41" s="18"/>
      <c r="C41" s="205" t="s">
        <v>215</v>
      </c>
      <c r="D41" s="93" t="str">
        <f>Cálculo!O123</f>
        <v>Não preenche os requisitos</v>
      </c>
      <c r="E41" s="95" t="s">
        <v>259</v>
      </c>
    </row>
    <row r="42" spans="1:5" ht="4.5" customHeight="1" thickTop="1">
      <c r="A42" s="236"/>
      <c r="B42" s="236"/>
      <c r="C42" s="94"/>
      <c r="D42" s="31"/>
      <c r="E42" s="31"/>
    </row>
    <row r="43" spans="1:5" ht="26.25" customHeight="1" thickBot="1">
      <c r="A43" s="18"/>
      <c r="B43" s="18"/>
      <c r="C43" s="206" t="s">
        <v>264</v>
      </c>
      <c r="D43" s="96" t="str">
        <f>Cálculo!O126</f>
        <v>A analisar</v>
      </c>
      <c r="E43" s="95" t="s">
        <v>259</v>
      </c>
    </row>
    <row r="44" spans="1:5" ht="4.5" customHeight="1" thickTop="1">
      <c r="A44" s="236"/>
      <c r="B44" s="236"/>
      <c r="C44" s="12"/>
    </row>
    <row r="45" spans="1:5" ht="24.75" customHeight="1">
      <c r="A45" s="236"/>
      <c r="B45" s="236"/>
      <c r="C45" s="11"/>
    </row>
    <row r="46" spans="1:5" ht="21" customHeight="1">
      <c r="A46" s="236"/>
      <c r="B46" s="236"/>
      <c r="C46" s="296" t="s">
        <v>265</v>
      </c>
      <c r="D46" s="297"/>
      <c r="E46" s="73" t="s">
        <v>266</v>
      </c>
    </row>
    <row r="47" spans="1:5" ht="60.75" customHeight="1">
      <c r="A47" s="236"/>
      <c r="B47" s="236"/>
      <c r="C47" s="218" t="s">
        <v>267</v>
      </c>
      <c r="D47" s="305" t="str">
        <f>Cálculo!O129</f>
        <v>Não preenche os requisitos</v>
      </c>
      <c r="E47" s="209" t="str">
        <f>Cálculo!H145</f>
        <v>Sem Comutação</v>
      </c>
    </row>
    <row r="48" spans="1:5" ht="18.75" customHeight="1" thickBot="1">
      <c r="A48" s="236"/>
      <c r="B48" s="236"/>
      <c r="C48" s="219" t="s">
        <v>268</v>
      </c>
      <c r="D48" s="305"/>
      <c r="E48" s="210" t="str">
        <f>Cálculo!M145</f>
        <v>Sem Comutação</v>
      </c>
    </row>
    <row r="49" spans="1:5" ht="4.5" customHeight="1" thickTop="1">
      <c r="A49" s="236"/>
      <c r="B49" s="236"/>
      <c r="C49" s="92"/>
      <c r="D49" s="13"/>
      <c r="E49" s="13"/>
    </row>
    <row r="50" spans="1:5" ht="60.75" customHeight="1">
      <c r="A50" s="236"/>
      <c r="B50" s="236"/>
      <c r="C50" s="211" t="s">
        <v>269</v>
      </c>
      <c r="D50" s="305" t="str">
        <f>Cálculo!O132</f>
        <v>Não preenche os requisitos</v>
      </c>
      <c r="E50" s="225" t="str">
        <f>Cálculo!H146</f>
        <v>Sem Comutação</v>
      </c>
    </row>
    <row r="51" spans="1:5" ht="18.75" customHeight="1" thickBot="1">
      <c r="A51" s="236"/>
      <c r="B51" s="236"/>
      <c r="C51" s="216" t="s">
        <v>268</v>
      </c>
      <c r="D51" s="305"/>
      <c r="E51" s="225" t="str">
        <f>Cálculo!M146</f>
        <v>Sem Comutação</v>
      </c>
    </row>
    <row r="52" spans="1:5" ht="4.5" customHeight="1" thickTop="1">
      <c r="A52" s="236"/>
      <c r="B52" s="236"/>
      <c r="C52" s="92"/>
      <c r="D52" s="13"/>
      <c r="E52" s="13"/>
    </row>
    <row r="53" spans="1:5" ht="60.75" customHeight="1">
      <c r="A53" s="236"/>
      <c r="B53" s="236"/>
      <c r="C53" s="212" t="s">
        <v>270</v>
      </c>
      <c r="D53" s="305" t="str">
        <f>Cálculo!O135</f>
        <v>Não preenche os requisitos</v>
      </c>
      <c r="E53" s="225" t="str">
        <f>Cálculo!H147</f>
        <v>Sem Comutação</v>
      </c>
    </row>
    <row r="54" spans="1:5" ht="18.75" customHeight="1" thickBot="1">
      <c r="A54" s="236"/>
      <c r="B54" s="236"/>
      <c r="C54" s="217" t="s">
        <v>268</v>
      </c>
      <c r="D54" s="305"/>
      <c r="E54" s="210" t="str">
        <f>Cálculo!M147</f>
        <v>Sem Comutação</v>
      </c>
    </row>
    <row r="55" spans="1:5" ht="4.5" customHeight="1" thickTop="1">
      <c r="A55" s="236"/>
      <c r="B55" s="236"/>
      <c r="C55" s="92"/>
      <c r="D55" s="13"/>
      <c r="E55" s="13"/>
    </row>
    <row r="56" spans="1:5" ht="45">
      <c r="A56" s="236"/>
      <c r="B56" s="236"/>
      <c r="C56" s="214" t="s">
        <v>271</v>
      </c>
      <c r="D56" s="305" t="str">
        <f>Cálculo!O138</f>
        <v>Não preenche os requisitos</v>
      </c>
      <c r="E56" s="213" t="str">
        <f>Cálculo!H148</f>
        <v>Sem Comutação</v>
      </c>
    </row>
    <row r="57" spans="1:5" ht="18.75" customHeight="1" thickBot="1">
      <c r="A57" s="236"/>
      <c r="B57" s="236"/>
      <c r="C57" s="216" t="s">
        <v>268</v>
      </c>
      <c r="D57" s="305"/>
      <c r="E57" s="210" t="str">
        <f>Cálculo!M148</f>
        <v>Sem Comutação</v>
      </c>
    </row>
    <row r="58" spans="1:5" ht="4.5" customHeight="1" thickTop="1">
      <c r="A58" s="236"/>
      <c r="B58" s="236"/>
      <c r="C58" s="92"/>
      <c r="D58" s="13"/>
      <c r="E58" s="13"/>
    </row>
    <row r="59" spans="1:5" ht="35.25" customHeight="1">
      <c r="A59" s="18"/>
      <c r="B59" s="18"/>
      <c r="C59" s="215" t="s">
        <v>272</v>
      </c>
      <c r="D59" s="305" t="str">
        <f>Cálculo!O141</f>
        <v>Não preenche os requisitos</v>
      </c>
      <c r="E59" s="213" t="str">
        <f>Cálculo!H149</f>
        <v>Sem Comutação</v>
      </c>
    </row>
    <row r="60" spans="1:5" ht="18.75" customHeight="1" thickBot="1">
      <c r="A60" s="18"/>
      <c r="B60" s="18"/>
      <c r="C60" s="217" t="s">
        <v>268</v>
      </c>
      <c r="D60" s="305"/>
      <c r="E60" s="210" t="str">
        <f>Cálculo!M149</f>
        <v>Sem Comutação</v>
      </c>
    </row>
    <row r="61" spans="1:5" ht="4.5" customHeight="1" thickTop="1">
      <c r="A61" s="236"/>
      <c r="B61" s="236"/>
      <c r="C61" s="11"/>
      <c r="D61" s="14"/>
      <c r="E61" s="14"/>
    </row>
    <row r="62" spans="1:5" ht="15.75" customHeight="1">
      <c r="A62" s="236"/>
      <c r="B62" s="236"/>
      <c r="C62" s="11"/>
    </row>
    <row r="63" spans="1:5" ht="15.75" customHeight="1">
      <c r="A63" s="236"/>
      <c r="B63" s="236"/>
      <c r="C63" s="294" t="s">
        <v>79</v>
      </c>
      <c r="D63" s="294"/>
      <c r="E63" s="294"/>
    </row>
    <row r="64" spans="1:5" ht="46.5" customHeight="1">
      <c r="A64" s="236"/>
      <c r="B64" s="236"/>
      <c r="C64" s="293">
        <f>Questionario!B124</f>
        <v>0</v>
      </c>
      <c r="D64" s="293"/>
      <c r="E64" s="293"/>
    </row>
    <row r="65" spans="1:5" ht="15.75" customHeight="1">
      <c r="A65" s="236"/>
      <c r="B65" s="236"/>
      <c r="C65" s="11"/>
    </row>
    <row r="66" spans="1:5" ht="15.75" customHeight="1">
      <c r="A66" s="236"/>
      <c r="B66" s="236"/>
      <c r="C66" s="294" t="s">
        <v>273</v>
      </c>
      <c r="D66" s="294"/>
      <c r="E66" s="294"/>
    </row>
    <row r="67" spans="1:5" ht="20.25" customHeight="1">
      <c r="A67" s="236"/>
      <c r="B67" s="236"/>
      <c r="C67" s="295" t="s">
        <v>274</v>
      </c>
      <c r="D67" s="295"/>
      <c r="E67" s="295"/>
    </row>
    <row r="68" spans="1:5" ht="20.25" customHeight="1">
      <c r="A68" s="236"/>
      <c r="B68" s="236"/>
      <c r="C68" s="292" t="s">
        <v>275</v>
      </c>
      <c r="D68" s="292"/>
      <c r="E68" s="292"/>
    </row>
    <row r="69" spans="1:5" ht="20.25" customHeight="1">
      <c r="A69" s="236"/>
      <c r="B69" s="236"/>
      <c r="C69" s="292" t="s">
        <v>276</v>
      </c>
      <c r="D69" s="292"/>
      <c r="E69" s="292"/>
    </row>
    <row r="70" spans="1:5" ht="20.25" customHeight="1">
      <c r="A70" s="236"/>
      <c r="B70" s="236"/>
      <c r="C70" s="292" t="s">
        <v>277</v>
      </c>
      <c r="D70" s="292"/>
      <c r="E70" s="292"/>
    </row>
  </sheetData>
  <sheetProtection formatCells="0" formatColumns="0" formatRows="0" insertColumns="0" insertRows="0" insertHyperlinks="0" deleteColumns="0" deleteRows="0" sort="0" autoFilter="0" pivotTables="0"/>
  <mergeCells count="17">
    <mergeCell ref="C46:D46"/>
    <mergeCell ref="C3:E3"/>
    <mergeCell ref="D5:E5"/>
    <mergeCell ref="D6:E6"/>
    <mergeCell ref="C63:E63"/>
    <mergeCell ref="E4:F4"/>
    <mergeCell ref="D53:D54"/>
    <mergeCell ref="D50:D51"/>
    <mergeCell ref="D47:D48"/>
    <mergeCell ref="D56:D57"/>
    <mergeCell ref="D59:D60"/>
    <mergeCell ref="C70:E70"/>
    <mergeCell ref="C64:E64"/>
    <mergeCell ref="C66:E66"/>
    <mergeCell ref="C67:E67"/>
    <mergeCell ref="C68:E68"/>
    <mergeCell ref="C69:E69"/>
  </mergeCells>
  <conditionalFormatting sqref="C48">
    <cfRule type="cellIs" dxfId="36" priority="1" operator="equal">
      <formula>"Sem comutação"</formula>
    </cfRule>
    <cfRule type="cellIs" dxfId="35" priority="2" operator="equal">
      <formula>"NÃO PREENCHE OS REQUISITOS"</formula>
    </cfRule>
  </conditionalFormatting>
  <conditionalFormatting sqref="C51">
    <cfRule type="cellIs" dxfId="34" priority="9" operator="equal">
      <formula>"Sem comutação"</formula>
    </cfRule>
    <cfRule type="cellIs" dxfId="33" priority="10" operator="equal">
      <formula>"NÃO PREENCHE OS REQUISITOS"</formula>
    </cfRule>
  </conditionalFormatting>
  <conditionalFormatting sqref="C54">
    <cfRule type="cellIs" dxfId="32" priority="5" operator="equal">
      <formula>"Sem comutação"</formula>
    </cfRule>
    <cfRule type="cellIs" dxfId="31" priority="6" operator="equal">
      <formula>"NÃO PREENCHE OS REQUISITOS"</formula>
    </cfRule>
  </conditionalFormatting>
  <conditionalFormatting sqref="C57">
    <cfRule type="cellIs" dxfId="30" priority="24" operator="equal">
      <formula>"Sem comutação"</formula>
    </cfRule>
    <cfRule type="cellIs" dxfId="29" priority="25" operator="equal">
      <formula>"NÃO PREENCHE OS REQUISITOS"</formula>
    </cfRule>
  </conditionalFormatting>
  <conditionalFormatting sqref="C60">
    <cfRule type="cellIs" dxfId="28" priority="12" operator="equal">
      <formula>"Sem comutação"</formula>
    </cfRule>
    <cfRule type="cellIs" dxfId="27" priority="13" operator="equal">
      <formula>"NÃO PREENCHE OS REQUISITOS"</formula>
    </cfRule>
  </conditionalFormatting>
  <conditionalFormatting sqref="D3:E47 E48 D49:E50 E51 D52:E53 E54 D55:E56 E57 D58:E59 E60 D61:E66">
    <cfRule type="cellIs" dxfId="26" priority="247" operator="equal">
      <formula>"Sem comutação"</formula>
    </cfRule>
  </conditionalFormatting>
  <conditionalFormatting sqref="D9:E9">
    <cfRule type="cellIs" dxfId="25" priority="252" operator="equal">
      <formula>"NÃO PREENCHE OS REQUISITOS"</formula>
    </cfRule>
  </conditionalFormatting>
  <conditionalFormatting sqref="D11:E11">
    <cfRule type="cellIs" dxfId="24" priority="246" operator="equal">
      <formula>"NÃO PREENCHE OS REQUISITOS"</formula>
    </cfRule>
  </conditionalFormatting>
  <conditionalFormatting sqref="D13:E13">
    <cfRule type="cellIs" dxfId="23" priority="244" operator="equal">
      <formula>"NÃO PREENCHE OS REQUISITOS"</formula>
    </cfRule>
  </conditionalFormatting>
  <conditionalFormatting sqref="D15:E15">
    <cfRule type="cellIs" dxfId="22" priority="241" operator="equal">
      <formula>"NÃO PREENCHE OS REQUISITOS"</formula>
    </cfRule>
  </conditionalFormatting>
  <conditionalFormatting sqref="D17:E17">
    <cfRule type="cellIs" dxfId="21" priority="237" operator="equal">
      <formula>"NÃO PREENCHE OS REQUISITOS"</formula>
    </cfRule>
  </conditionalFormatting>
  <conditionalFormatting sqref="D19:E19">
    <cfRule type="cellIs" dxfId="20" priority="232" operator="equal">
      <formula>"NÃO PREENCHE OS REQUISITOS"</formula>
    </cfRule>
  </conditionalFormatting>
  <conditionalFormatting sqref="D21:E21">
    <cfRule type="cellIs" dxfId="19" priority="226" operator="equal">
      <formula>"NÃO PREENCHE OS REQUISITOS"</formula>
    </cfRule>
  </conditionalFormatting>
  <conditionalFormatting sqref="D23:E23">
    <cfRule type="cellIs" dxfId="18" priority="212" operator="equal">
      <formula>"NÃO PREENCHE OS REQUISITOS"</formula>
    </cfRule>
  </conditionalFormatting>
  <conditionalFormatting sqref="D25:E25">
    <cfRule type="cellIs" dxfId="17" priority="197" operator="equal">
      <formula>"NÃO PREENCHE OS REQUISITOS"</formula>
    </cfRule>
  </conditionalFormatting>
  <conditionalFormatting sqref="D27:E27">
    <cfRule type="cellIs" dxfId="16" priority="181" operator="equal">
      <formula>"NÃO PREENCHE OS REQUISITOS"</formula>
    </cfRule>
  </conditionalFormatting>
  <conditionalFormatting sqref="D29:E29">
    <cfRule type="cellIs" dxfId="15" priority="164" operator="equal">
      <formula>"NÃO PREENCHE OS REQUISITOS"</formula>
    </cfRule>
  </conditionalFormatting>
  <conditionalFormatting sqref="D31:E31">
    <cfRule type="cellIs" dxfId="14" priority="146" operator="equal">
      <formula>"NÃO PREENCHE OS REQUISITOS"</formula>
    </cfRule>
  </conditionalFormatting>
  <conditionalFormatting sqref="D33:E33">
    <cfRule type="cellIs" dxfId="13" priority="128" operator="equal">
      <formula>"NÃO PREENCHE OS REQUISITOS"</formula>
    </cfRule>
  </conditionalFormatting>
  <conditionalFormatting sqref="D35:E35">
    <cfRule type="cellIs" dxfId="12" priority="109" operator="equal">
      <formula>"NÃO PREENCHE OS REQUISITOS"</formula>
    </cfRule>
  </conditionalFormatting>
  <conditionalFormatting sqref="D37:E37">
    <cfRule type="cellIs" dxfId="11" priority="89" operator="equal">
      <formula>"NÃO PREENCHE OS REQUISITOS"</formula>
    </cfRule>
  </conditionalFormatting>
  <conditionalFormatting sqref="D39:E39">
    <cfRule type="cellIs" dxfId="10" priority="68" operator="equal">
      <formula>"NÃO PREENCHE OS REQUISITOS"</formula>
    </cfRule>
  </conditionalFormatting>
  <conditionalFormatting sqref="D41:E41">
    <cfRule type="cellIs" dxfId="9" priority="46" operator="equal">
      <formula>"NÃO PREENCHE OS REQUISITOS"</formula>
    </cfRule>
  </conditionalFormatting>
  <conditionalFormatting sqref="D43:E43">
    <cfRule type="cellIs" dxfId="8" priority="276" operator="equal">
      <formula>"NÃO PREENCHE OS REQUISITOS"</formula>
    </cfRule>
  </conditionalFormatting>
  <conditionalFormatting sqref="D47:E47 E48">
    <cfRule type="cellIs" dxfId="7" priority="266" operator="equal">
      <formula>"NÃO PREENCHE OS REQUISITOS"</formula>
    </cfRule>
  </conditionalFormatting>
  <conditionalFormatting sqref="D50:E50 E51">
    <cfRule type="cellIs" dxfId="6" priority="263" operator="equal">
      <formula>"NÃO PREENCHE OS REQUISITOS"</formula>
    </cfRule>
  </conditionalFormatting>
  <conditionalFormatting sqref="D53:E53">
    <cfRule type="cellIs" dxfId="5" priority="262" operator="equal">
      <formula>"NÃO PREENCHE OS REQUISITOS"</formula>
    </cfRule>
  </conditionalFormatting>
  <conditionalFormatting sqref="D56:E56">
    <cfRule type="cellIs" dxfId="4" priority="256" operator="equal">
      <formula>"NÃO PREENCHE OS REQUISITOS"</formula>
    </cfRule>
  </conditionalFormatting>
  <conditionalFormatting sqref="D59:E59">
    <cfRule type="cellIs" dxfId="3" priority="257" operator="equal">
      <formula>"NÃO PREENCHE OS REQUISITOS"</formula>
    </cfRule>
  </conditionalFormatting>
  <conditionalFormatting sqref="E54">
    <cfRule type="cellIs" dxfId="2" priority="43" operator="equal">
      <formula>"NÃO PREENCHE OS REQUISITOS"</formula>
    </cfRule>
  </conditionalFormatting>
  <conditionalFormatting sqref="E57">
    <cfRule type="cellIs" dxfId="1" priority="42" operator="equal">
      <formula>"NÃO PREENCHE OS REQUISITOS"</formula>
    </cfRule>
  </conditionalFormatting>
  <conditionalFormatting sqref="E60">
    <cfRule type="cellIs" dxfId="0" priority="38" operator="equal">
      <formula>"NÃO PREENCHE OS REQUISITOS"</formula>
    </cfRule>
  </conditionalFormatting>
  <hyperlinks>
    <hyperlink ref="E4" r:id="rId1" xr:uid="{593790B0-578D-479A-8ADA-57F3E05E0480}"/>
  </hyperlinks>
  <printOptions horizontalCentered="1"/>
  <pageMargins left="0.31496062992125984" right="0.31496062992125984" top="0.39370078740157483" bottom="0.39370078740157483" header="0" footer="0"/>
  <pageSetup paperSize="9" scale="60" fitToHeight="2" orientation="portrait" r:id="rId2"/>
  <rowBreaks count="1" manualBreakCount="1">
    <brk id="45" min="2" max="4" man="1"/>
  </rowBreaks>
  <colBreaks count="1" manualBreakCount="1">
    <brk id="2" min="2" max="67" man="1"/>
  </col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4"/>
  <sheetViews>
    <sheetView workbookViewId="0">
      <selection activeCell="U10" sqref="U10"/>
    </sheetView>
  </sheetViews>
  <sheetFormatPr defaultColWidth="14.42578125" defaultRowHeight="15" customHeight="1"/>
  <cols>
    <col min="1" max="1" width="9.140625" customWidth="1"/>
    <col min="2" max="2" width="2.28515625" customWidth="1"/>
    <col min="3" max="3" width="9.42578125" customWidth="1"/>
    <col min="4" max="4" width="2.28515625" customWidth="1"/>
    <col min="5" max="9" width="9.140625" customWidth="1"/>
    <col min="10" max="10" width="11.7109375" customWidth="1"/>
    <col min="11" max="11" width="9.140625" customWidth="1"/>
    <col min="12" max="12" width="14.42578125" customWidth="1"/>
    <col min="13" max="13" width="9.140625" customWidth="1"/>
    <col min="14" max="14" width="12.28515625" customWidth="1"/>
    <col min="15" max="15" width="8.7109375" customWidth="1"/>
    <col min="16" max="16" width="21.7109375" customWidth="1"/>
    <col min="17" max="17" width="8.7109375" customWidth="1"/>
    <col min="18" max="18" width="21.85546875" customWidth="1"/>
    <col min="19" max="19" width="8.7109375" customWidth="1"/>
    <col min="20" max="20" width="15.140625" customWidth="1"/>
    <col min="21" max="22" width="8.7109375" customWidth="1"/>
    <col min="23" max="23" width="17.5703125" customWidth="1"/>
    <col min="24" max="24" width="19.28515625" customWidth="1"/>
    <col min="25" max="26" width="8.7109375" customWidth="1"/>
  </cols>
  <sheetData>
    <row r="1" spans="1:26">
      <c r="A1" s="17" t="s">
        <v>8</v>
      </c>
      <c r="B1" s="16"/>
      <c r="C1" s="17" t="s">
        <v>9</v>
      </c>
      <c r="D1" s="16"/>
      <c r="E1" s="17" t="s">
        <v>10</v>
      </c>
      <c r="F1" s="16"/>
      <c r="G1" s="16"/>
      <c r="H1" s="16" t="s">
        <v>278</v>
      </c>
      <c r="I1" s="16"/>
      <c r="J1" s="16" t="s">
        <v>279</v>
      </c>
      <c r="K1" s="16"/>
      <c r="L1" s="16" t="s">
        <v>280</v>
      </c>
      <c r="M1" s="16"/>
      <c r="N1" s="15" t="s">
        <v>281</v>
      </c>
      <c r="O1" s="16"/>
      <c r="P1" s="16" t="s">
        <v>282</v>
      </c>
      <c r="Q1" s="16"/>
      <c r="R1" s="16" t="s">
        <v>283</v>
      </c>
      <c r="S1" s="16"/>
      <c r="T1" s="16" t="s">
        <v>284</v>
      </c>
      <c r="U1" s="16"/>
      <c r="V1" s="16" t="s">
        <v>285</v>
      </c>
      <c r="W1" s="16"/>
      <c r="X1" s="16" t="s">
        <v>286</v>
      </c>
      <c r="Z1" s="16"/>
    </row>
    <row r="2" spans="1:26">
      <c r="A2" s="16">
        <v>0</v>
      </c>
      <c r="B2" s="16"/>
      <c r="C2" s="16">
        <v>0</v>
      </c>
      <c r="D2" s="16"/>
      <c r="E2" s="16">
        <v>0</v>
      </c>
      <c r="F2" s="16"/>
      <c r="G2" s="16"/>
      <c r="H2" s="232" t="s">
        <v>74</v>
      </c>
      <c r="I2" s="16"/>
      <c r="J2" s="232" t="s">
        <v>287</v>
      </c>
      <c r="K2" s="16"/>
      <c r="L2" s="232" t="s">
        <v>74</v>
      </c>
      <c r="M2" s="16"/>
      <c r="N2" s="15" t="s">
        <v>35</v>
      </c>
      <c r="O2" s="16"/>
      <c r="P2" s="232" t="s">
        <v>33</v>
      </c>
      <c r="Q2" s="16"/>
      <c r="R2" s="232" t="s">
        <v>33</v>
      </c>
      <c r="S2" s="16"/>
      <c r="T2" s="237" t="s">
        <v>33</v>
      </c>
      <c r="U2" s="16"/>
      <c r="V2" s="237" t="s">
        <v>33</v>
      </c>
      <c r="W2" s="16"/>
      <c r="X2" s="237" t="s">
        <v>33</v>
      </c>
      <c r="Y2" s="16"/>
      <c r="Z2" s="16"/>
    </row>
    <row r="3" spans="1:26">
      <c r="A3" s="16">
        <v>1</v>
      </c>
      <c r="B3" s="16"/>
      <c r="C3" s="16">
        <v>1</v>
      </c>
      <c r="D3" s="16"/>
      <c r="E3" s="16">
        <v>1</v>
      </c>
      <c r="F3" s="16"/>
      <c r="G3" s="16"/>
      <c r="H3" s="232" t="s">
        <v>33</v>
      </c>
      <c r="I3" s="16"/>
      <c r="J3" s="232" t="s">
        <v>30</v>
      </c>
      <c r="K3" s="16"/>
      <c r="L3" s="232" t="s">
        <v>33</v>
      </c>
      <c r="M3" s="16"/>
      <c r="N3" s="15" t="s">
        <v>288</v>
      </c>
      <c r="O3" s="16"/>
      <c r="P3" s="232" t="s">
        <v>289</v>
      </c>
      <c r="Q3" s="16"/>
      <c r="R3" s="232" t="s">
        <v>290</v>
      </c>
      <c r="S3" s="16"/>
      <c r="T3" s="238" t="s">
        <v>291</v>
      </c>
      <c r="U3" s="16"/>
      <c r="V3" s="238" t="s">
        <v>127</v>
      </c>
      <c r="W3" s="16"/>
      <c r="X3" s="238" t="s">
        <v>292</v>
      </c>
      <c r="Y3" s="16"/>
      <c r="Z3" s="16"/>
    </row>
    <row r="4" spans="1:26">
      <c r="A4" s="16">
        <v>2</v>
      </c>
      <c r="B4" s="16"/>
      <c r="C4" s="16">
        <v>2</v>
      </c>
      <c r="D4" s="16"/>
      <c r="E4" s="16">
        <v>2</v>
      </c>
      <c r="F4" s="16"/>
      <c r="G4" s="16"/>
      <c r="I4" s="16"/>
      <c r="K4" s="16"/>
      <c r="L4" s="232" t="s">
        <v>293</v>
      </c>
      <c r="M4" s="16"/>
      <c r="N4" s="15" t="s">
        <v>294</v>
      </c>
      <c r="O4" s="16"/>
      <c r="P4" s="232" t="s">
        <v>295</v>
      </c>
      <c r="Q4" s="16"/>
      <c r="R4" s="232" t="s">
        <v>296</v>
      </c>
      <c r="S4" s="16"/>
      <c r="T4" s="237" t="s">
        <v>297</v>
      </c>
      <c r="U4" s="16"/>
      <c r="V4" s="237" t="s">
        <v>298</v>
      </c>
      <c r="W4" s="16"/>
      <c r="X4" s="237" t="s">
        <v>299</v>
      </c>
      <c r="Y4" s="16"/>
      <c r="Z4" s="16"/>
    </row>
    <row r="5" spans="1:26">
      <c r="A5" s="16">
        <v>3</v>
      </c>
      <c r="B5" s="16"/>
      <c r="C5" s="16">
        <v>3</v>
      </c>
      <c r="D5" s="16"/>
      <c r="E5" s="16">
        <v>3</v>
      </c>
      <c r="F5" s="16"/>
      <c r="G5" s="16"/>
      <c r="H5" s="16"/>
      <c r="I5" s="16"/>
      <c r="J5" s="16"/>
      <c r="K5" s="16"/>
      <c r="L5" s="16"/>
      <c r="M5" s="16"/>
      <c r="N5" s="16"/>
      <c r="O5" s="16"/>
      <c r="P5" s="232" t="s">
        <v>300</v>
      </c>
      <c r="Q5" s="16"/>
      <c r="R5" s="232" t="s">
        <v>301</v>
      </c>
      <c r="S5" s="16"/>
      <c r="T5" s="238" t="s">
        <v>302</v>
      </c>
      <c r="U5" s="16"/>
      <c r="V5" s="238" t="s">
        <v>131</v>
      </c>
      <c r="W5" s="16"/>
      <c r="X5" s="237" t="s">
        <v>303</v>
      </c>
      <c r="Y5" s="16"/>
      <c r="Z5" s="16"/>
    </row>
    <row r="6" spans="1:26">
      <c r="A6" s="16">
        <v>4</v>
      </c>
      <c r="B6" s="16"/>
      <c r="C6" s="16">
        <v>4</v>
      </c>
      <c r="D6" s="16"/>
      <c r="E6" s="16">
        <v>4</v>
      </c>
      <c r="F6" s="16"/>
      <c r="G6" s="16"/>
      <c r="H6" s="16"/>
      <c r="I6" s="16"/>
      <c r="J6" s="16"/>
      <c r="K6" s="16"/>
      <c r="L6" s="16"/>
      <c r="M6" s="16"/>
      <c r="N6" s="16"/>
      <c r="O6" s="16"/>
      <c r="P6" s="16"/>
      <c r="Q6" s="16"/>
      <c r="R6" s="16"/>
      <c r="S6" s="16"/>
      <c r="T6" s="16"/>
      <c r="U6" s="16"/>
      <c r="V6" s="16"/>
      <c r="W6" s="16"/>
      <c r="X6" s="16"/>
      <c r="Y6" s="16"/>
      <c r="Z6" s="16"/>
    </row>
    <row r="7" spans="1:26">
      <c r="A7" s="16">
        <v>5</v>
      </c>
      <c r="B7" s="16"/>
      <c r="C7" s="16">
        <v>5</v>
      </c>
      <c r="D7" s="16"/>
      <c r="E7" s="16">
        <v>5</v>
      </c>
      <c r="F7" s="16"/>
      <c r="G7" s="16"/>
      <c r="H7" s="16"/>
      <c r="I7" s="16"/>
      <c r="J7" s="16"/>
      <c r="K7" s="16"/>
      <c r="L7" s="16"/>
      <c r="M7" s="16"/>
      <c r="N7" s="16"/>
      <c r="O7" s="16"/>
      <c r="P7" s="16"/>
      <c r="Q7" s="16"/>
      <c r="R7" s="16"/>
      <c r="S7" s="16"/>
      <c r="T7" s="16"/>
      <c r="U7" s="16"/>
      <c r="V7" s="16"/>
      <c r="W7" s="16"/>
      <c r="X7" s="16"/>
      <c r="Y7" s="16"/>
      <c r="Z7" s="16"/>
    </row>
    <row r="8" spans="1:26">
      <c r="A8" s="16">
        <v>6</v>
      </c>
      <c r="B8" s="16"/>
      <c r="C8" s="16">
        <v>6</v>
      </c>
      <c r="D8" s="16"/>
      <c r="E8" s="16">
        <v>6</v>
      </c>
      <c r="F8" s="16"/>
      <c r="G8" s="16"/>
      <c r="H8" s="16"/>
      <c r="I8" s="16"/>
      <c r="J8" s="16"/>
      <c r="K8" s="16"/>
      <c r="L8" s="16"/>
      <c r="M8" s="16"/>
      <c r="N8" s="16"/>
      <c r="O8" s="16"/>
      <c r="P8" s="16"/>
      <c r="Q8" s="16"/>
      <c r="R8" s="16"/>
      <c r="S8" s="16"/>
      <c r="T8" s="16"/>
      <c r="U8" s="16" t="s">
        <v>304</v>
      </c>
      <c r="V8" s="16"/>
      <c r="W8" s="16"/>
      <c r="X8" s="16"/>
      <c r="Y8" s="16"/>
      <c r="Z8" s="16"/>
    </row>
    <row r="9" spans="1:26">
      <c r="A9" s="16">
        <v>7</v>
      </c>
      <c r="B9" s="16"/>
      <c r="C9" s="16">
        <v>7</v>
      </c>
      <c r="D9" s="16"/>
      <c r="E9" s="16">
        <v>7</v>
      </c>
      <c r="F9" s="16"/>
      <c r="G9" s="16"/>
      <c r="H9" s="16"/>
      <c r="I9" s="16"/>
      <c r="J9" s="16"/>
      <c r="K9" s="16"/>
      <c r="L9" s="16"/>
      <c r="M9" s="16"/>
      <c r="N9" s="16"/>
      <c r="O9" s="16"/>
      <c r="P9" s="16"/>
      <c r="Q9" s="16"/>
      <c r="R9" s="16"/>
      <c r="S9" s="16"/>
      <c r="T9" s="16"/>
      <c r="U9" s="16"/>
      <c r="V9" s="16"/>
      <c r="W9" s="16"/>
      <c r="X9" s="16"/>
      <c r="Y9" s="16"/>
      <c r="Z9" s="16"/>
    </row>
    <row r="10" spans="1:26">
      <c r="A10" s="16">
        <v>8</v>
      </c>
      <c r="B10" s="16"/>
      <c r="C10" s="16">
        <v>8</v>
      </c>
      <c r="D10" s="16"/>
      <c r="E10" s="16">
        <v>8</v>
      </c>
      <c r="F10" s="16"/>
      <c r="G10" s="16"/>
      <c r="H10" s="16"/>
      <c r="I10" s="16"/>
      <c r="J10" s="16"/>
      <c r="K10" s="16"/>
      <c r="L10" s="16"/>
      <c r="M10" s="16"/>
      <c r="N10" s="16"/>
      <c r="O10" s="16"/>
      <c r="P10" s="16"/>
      <c r="Q10" s="16"/>
      <c r="R10" s="16"/>
      <c r="S10" s="16"/>
      <c r="T10" s="16"/>
      <c r="U10" s="16"/>
      <c r="V10" s="16"/>
      <c r="W10" s="16"/>
      <c r="X10" s="16"/>
      <c r="Y10" s="16"/>
      <c r="Z10" s="16"/>
    </row>
    <row r="11" spans="1:26">
      <c r="A11" s="16">
        <v>9</v>
      </c>
      <c r="B11" s="16"/>
      <c r="C11" s="16">
        <v>9</v>
      </c>
      <c r="D11" s="16"/>
      <c r="E11" s="16">
        <v>9</v>
      </c>
      <c r="F11" s="16"/>
      <c r="G11" s="16"/>
      <c r="H11" s="16"/>
      <c r="I11" s="16"/>
      <c r="J11" s="16"/>
      <c r="K11" s="16"/>
      <c r="L11" s="16"/>
      <c r="M11" s="16"/>
      <c r="N11" s="16"/>
      <c r="O11" s="16"/>
      <c r="P11" s="16"/>
      <c r="Q11" s="16"/>
      <c r="R11" s="16"/>
      <c r="S11" s="16"/>
      <c r="T11" s="16"/>
      <c r="U11" s="16"/>
      <c r="V11" s="16"/>
      <c r="W11" s="16"/>
      <c r="X11" s="16"/>
      <c r="Y11" s="16"/>
      <c r="Z11" s="16"/>
    </row>
    <row r="12" spans="1:26">
      <c r="A12" s="16">
        <v>10</v>
      </c>
      <c r="B12" s="16"/>
      <c r="C12" s="16">
        <v>10</v>
      </c>
      <c r="D12" s="16"/>
      <c r="E12" s="16">
        <v>10</v>
      </c>
      <c r="F12" s="16"/>
      <c r="G12" s="16"/>
      <c r="H12" s="16"/>
      <c r="I12" s="16"/>
      <c r="J12" s="16"/>
      <c r="K12" s="16"/>
      <c r="L12" s="16"/>
      <c r="M12" s="16"/>
      <c r="N12" s="16"/>
      <c r="O12" s="16"/>
      <c r="P12" s="16"/>
      <c r="Q12" s="16"/>
      <c r="R12" s="16"/>
      <c r="S12" s="16"/>
      <c r="T12" s="16"/>
      <c r="U12" s="16"/>
      <c r="V12" s="16"/>
      <c r="W12" s="16"/>
      <c r="X12" s="16"/>
      <c r="Y12" s="16"/>
      <c r="Z12" s="16"/>
    </row>
    <row r="13" spans="1:26">
      <c r="A13" s="16">
        <v>11</v>
      </c>
      <c r="B13" s="16"/>
      <c r="C13" s="16">
        <v>11</v>
      </c>
      <c r="D13" s="16"/>
      <c r="E13" s="16">
        <v>11</v>
      </c>
      <c r="F13" s="16"/>
      <c r="G13" s="16"/>
      <c r="H13" s="16"/>
      <c r="I13" s="16"/>
      <c r="J13" s="16"/>
      <c r="K13" s="16"/>
      <c r="L13" s="16"/>
      <c r="M13" s="16"/>
      <c r="N13" s="16"/>
      <c r="O13" s="16"/>
      <c r="P13" s="16"/>
      <c r="Q13" s="16"/>
      <c r="R13" s="16"/>
      <c r="S13" s="16"/>
      <c r="T13" s="16"/>
      <c r="U13" s="16"/>
      <c r="V13" s="16"/>
      <c r="W13" s="16"/>
      <c r="X13" s="16"/>
      <c r="Y13" s="16"/>
      <c r="Z13" s="16"/>
    </row>
    <row r="14" spans="1:26">
      <c r="A14" s="16">
        <v>12</v>
      </c>
      <c r="B14" s="16"/>
      <c r="C14" s="16"/>
      <c r="D14" s="16"/>
      <c r="E14" s="16">
        <v>12</v>
      </c>
      <c r="F14" s="16"/>
      <c r="G14" s="16"/>
      <c r="H14" s="16"/>
      <c r="I14" s="16"/>
      <c r="J14" s="16"/>
      <c r="K14" s="16"/>
      <c r="L14" s="16"/>
      <c r="M14" s="16"/>
      <c r="N14" s="16"/>
      <c r="O14" s="16"/>
      <c r="P14" s="16"/>
      <c r="Q14" s="16"/>
      <c r="R14" s="16"/>
      <c r="S14" s="16"/>
      <c r="T14" s="16"/>
      <c r="U14" s="16"/>
      <c r="V14" s="16"/>
      <c r="W14" s="16"/>
      <c r="X14" s="16"/>
      <c r="Y14" s="16"/>
      <c r="Z14" s="16"/>
    </row>
    <row r="15" spans="1:26">
      <c r="A15" s="16">
        <v>13</v>
      </c>
      <c r="B15" s="16"/>
      <c r="C15" s="16"/>
      <c r="D15" s="16"/>
      <c r="E15" s="16">
        <v>13</v>
      </c>
      <c r="F15" s="16"/>
      <c r="G15" s="16"/>
      <c r="H15" s="16"/>
      <c r="I15" s="16"/>
      <c r="J15" s="16"/>
      <c r="K15" s="16"/>
      <c r="L15" s="16"/>
      <c r="M15" s="16"/>
      <c r="N15" s="16"/>
      <c r="O15" s="16"/>
      <c r="P15" s="16"/>
      <c r="Q15" s="16"/>
      <c r="R15" s="16"/>
      <c r="S15" s="16"/>
      <c r="T15" s="16"/>
      <c r="U15" s="16"/>
      <c r="V15" s="16"/>
      <c r="W15" s="16"/>
      <c r="X15" s="16"/>
      <c r="Y15" s="16"/>
      <c r="Z15" s="16"/>
    </row>
    <row r="16" spans="1:26">
      <c r="A16" s="16">
        <v>14</v>
      </c>
      <c r="B16" s="16"/>
      <c r="C16" s="16"/>
      <c r="D16" s="16"/>
      <c r="E16" s="16">
        <v>14</v>
      </c>
      <c r="F16" s="16"/>
      <c r="G16" s="16"/>
      <c r="H16" s="16"/>
      <c r="I16" s="16"/>
      <c r="J16" s="16"/>
      <c r="K16" s="16"/>
      <c r="L16" s="16"/>
      <c r="M16" s="16"/>
      <c r="N16" s="16"/>
      <c r="O16" s="16"/>
      <c r="P16" s="16"/>
      <c r="Q16" s="16"/>
      <c r="R16" s="16"/>
      <c r="S16" s="16"/>
      <c r="T16" s="16"/>
      <c r="U16" s="16"/>
      <c r="V16" s="16"/>
      <c r="W16" s="16"/>
      <c r="X16" s="16"/>
      <c r="Y16" s="16"/>
      <c r="Z16" s="16"/>
    </row>
    <row r="17" spans="1:26">
      <c r="A17" s="16">
        <v>15</v>
      </c>
      <c r="B17" s="16"/>
      <c r="C17" s="16"/>
      <c r="D17" s="16"/>
      <c r="E17" s="16">
        <v>15</v>
      </c>
      <c r="F17" s="16"/>
      <c r="G17" s="16"/>
      <c r="H17" s="16"/>
      <c r="I17" s="16"/>
      <c r="J17" s="16"/>
      <c r="K17" s="16"/>
      <c r="L17" s="16"/>
      <c r="M17" s="16"/>
      <c r="N17" s="16"/>
      <c r="O17" s="16"/>
      <c r="P17" s="16"/>
      <c r="Q17" s="16"/>
      <c r="R17" s="16"/>
      <c r="S17" s="16"/>
      <c r="T17" s="16"/>
      <c r="U17" s="16"/>
      <c r="V17" s="16"/>
      <c r="W17" s="16"/>
      <c r="X17" s="16"/>
      <c r="Y17" s="16"/>
      <c r="Z17" s="16"/>
    </row>
    <row r="18" spans="1:26">
      <c r="A18" s="16">
        <v>16</v>
      </c>
      <c r="B18" s="16"/>
      <c r="C18" s="16"/>
      <c r="D18" s="16"/>
      <c r="E18" s="16">
        <v>16</v>
      </c>
      <c r="F18" s="16"/>
      <c r="G18" s="16"/>
      <c r="H18" s="16"/>
      <c r="I18" s="16"/>
      <c r="J18" s="16"/>
      <c r="K18" s="16"/>
      <c r="L18" s="16"/>
      <c r="M18" s="16"/>
      <c r="N18" s="16"/>
      <c r="O18" s="16"/>
      <c r="P18" s="16"/>
      <c r="Q18" s="16"/>
      <c r="R18" s="16"/>
      <c r="S18" s="16"/>
      <c r="T18" s="16"/>
      <c r="U18" s="16"/>
      <c r="V18" s="16"/>
      <c r="W18" s="16"/>
      <c r="X18" s="16"/>
      <c r="Y18" s="16"/>
      <c r="Z18" s="16"/>
    </row>
    <row r="19" spans="1:26">
      <c r="A19" s="16">
        <v>17</v>
      </c>
      <c r="B19" s="16"/>
      <c r="C19" s="16"/>
      <c r="D19" s="16"/>
      <c r="E19" s="16">
        <v>17</v>
      </c>
      <c r="F19" s="16"/>
      <c r="G19" s="16"/>
      <c r="H19" s="16"/>
      <c r="I19" s="16"/>
      <c r="J19" s="16"/>
      <c r="K19" s="16"/>
      <c r="L19" s="16"/>
      <c r="M19" s="16"/>
      <c r="N19" s="16"/>
      <c r="O19" s="16"/>
      <c r="P19" s="16"/>
      <c r="Q19" s="16"/>
      <c r="R19" s="16"/>
      <c r="S19" s="16"/>
      <c r="T19" s="16"/>
      <c r="U19" s="16"/>
      <c r="V19" s="16"/>
      <c r="W19" s="16"/>
      <c r="X19" s="16"/>
      <c r="Y19" s="16"/>
      <c r="Z19" s="16"/>
    </row>
    <row r="20" spans="1:26">
      <c r="A20" s="16">
        <v>18</v>
      </c>
      <c r="B20" s="16"/>
      <c r="C20" s="16"/>
      <c r="D20" s="16"/>
      <c r="E20" s="16">
        <v>18</v>
      </c>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16">
        <v>19</v>
      </c>
      <c r="B21" s="16"/>
      <c r="C21" s="16"/>
      <c r="D21" s="16"/>
      <c r="E21" s="16">
        <v>19</v>
      </c>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16">
        <v>20</v>
      </c>
      <c r="B22" s="16"/>
      <c r="C22" s="16"/>
      <c r="D22" s="16"/>
      <c r="E22" s="16">
        <v>20</v>
      </c>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16">
        <v>21</v>
      </c>
      <c r="B23" s="16"/>
      <c r="C23" s="16"/>
      <c r="D23" s="16"/>
      <c r="E23" s="16">
        <v>21</v>
      </c>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16">
        <v>22</v>
      </c>
      <c r="B24" s="16"/>
      <c r="C24" s="16"/>
      <c r="D24" s="16"/>
      <c r="E24" s="16">
        <v>22</v>
      </c>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16">
        <v>23</v>
      </c>
      <c r="B25" s="16"/>
      <c r="C25" s="16"/>
      <c r="D25" s="16"/>
      <c r="E25" s="16">
        <v>23</v>
      </c>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16">
        <v>24</v>
      </c>
      <c r="B26" s="16"/>
      <c r="C26" s="16"/>
      <c r="D26" s="16"/>
      <c r="E26" s="16">
        <v>24</v>
      </c>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16">
        <v>25</v>
      </c>
      <c r="B27" s="16"/>
      <c r="C27" s="16"/>
      <c r="D27" s="16"/>
      <c r="E27" s="16">
        <v>25</v>
      </c>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16">
        <v>26</v>
      </c>
      <c r="B28" s="16"/>
      <c r="C28" s="16"/>
      <c r="D28" s="16"/>
      <c r="E28" s="16">
        <v>26</v>
      </c>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16">
        <v>27</v>
      </c>
      <c r="B29" s="16"/>
      <c r="C29" s="16"/>
      <c r="D29" s="16"/>
      <c r="E29" s="16">
        <v>27</v>
      </c>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16">
        <v>28</v>
      </c>
      <c r="B30" s="16"/>
      <c r="C30" s="16"/>
      <c r="D30" s="16"/>
      <c r="E30" s="16">
        <v>28</v>
      </c>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16">
        <v>29</v>
      </c>
      <c r="B31" s="16"/>
      <c r="C31" s="16"/>
      <c r="D31" s="16"/>
      <c r="E31" s="16">
        <v>29</v>
      </c>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16">
        <v>30</v>
      </c>
      <c r="B32" s="16"/>
      <c r="C32" s="16"/>
      <c r="D32" s="16"/>
      <c r="E32" s="16">
        <v>30</v>
      </c>
      <c r="F32" s="16"/>
      <c r="G32" s="16"/>
      <c r="H32" s="16"/>
      <c r="I32" s="16"/>
      <c r="J32" s="16"/>
      <c r="K32" s="16"/>
      <c r="L32" s="16"/>
      <c r="M32" s="16"/>
      <c r="N32" s="16"/>
      <c r="O32" s="16"/>
      <c r="P32" s="16"/>
      <c r="Q32" s="16"/>
      <c r="R32" s="16"/>
      <c r="S32" s="16"/>
      <c r="T32" s="16"/>
      <c r="U32" s="16"/>
      <c r="V32" s="16"/>
      <c r="W32" s="16"/>
      <c r="X32" s="16"/>
      <c r="Y32" s="16"/>
      <c r="Z32" s="16"/>
    </row>
    <row r="33" spans="1:26" ht="15.75" customHeight="1">
      <c r="A33" s="16">
        <v>31</v>
      </c>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c r="A34" s="16">
        <v>32</v>
      </c>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c r="A35" s="16">
        <v>33</v>
      </c>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c r="A36" s="16">
        <v>34</v>
      </c>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c r="A37" s="16">
        <v>35</v>
      </c>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c r="A38" s="16">
        <v>36</v>
      </c>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c r="A39" s="16">
        <v>37</v>
      </c>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c r="A40" s="16">
        <v>38</v>
      </c>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c r="A41" s="16">
        <v>39</v>
      </c>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c r="A42" s="16">
        <v>40</v>
      </c>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c r="A43" s="16">
        <v>41</v>
      </c>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c r="A44" s="16">
        <v>42</v>
      </c>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c r="A45" s="16">
        <v>43</v>
      </c>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c r="A46" s="16">
        <v>44</v>
      </c>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c r="A47" s="16">
        <v>45</v>
      </c>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c r="A48" s="16">
        <v>46</v>
      </c>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c r="A49" s="16">
        <v>47</v>
      </c>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c r="A50" s="16">
        <v>48</v>
      </c>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c r="A51" s="16">
        <v>49</v>
      </c>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16">
        <v>50</v>
      </c>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16">
        <v>51</v>
      </c>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16">
        <v>52</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16">
        <v>53</v>
      </c>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16">
        <v>54</v>
      </c>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16">
        <v>55</v>
      </c>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16">
        <v>56</v>
      </c>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16">
        <v>57</v>
      </c>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16">
        <v>58</v>
      </c>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16">
        <v>59</v>
      </c>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16">
        <v>60</v>
      </c>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16">
        <v>61</v>
      </c>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16">
        <v>62</v>
      </c>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16">
        <v>63</v>
      </c>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16">
        <v>64</v>
      </c>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16">
        <v>65</v>
      </c>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16">
        <v>66</v>
      </c>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16">
        <v>67</v>
      </c>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16">
        <v>68</v>
      </c>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16">
        <v>69</v>
      </c>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16">
        <v>70</v>
      </c>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16">
        <v>71</v>
      </c>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16">
        <v>72</v>
      </c>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16">
        <v>73</v>
      </c>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16">
        <v>74</v>
      </c>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16">
        <v>75</v>
      </c>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16">
        <v>76</v>
      </c>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16">
        <v>77</v>
      </c>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16">
        <v>78</v>
      </c>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16">
        <v>79</v>
      </c>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16">
        <v>80</v>
      </c>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16">
        <v>81</v>
      </c>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16">
        <v>82</v>
      </c>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16">
        <v>83</v>
      </c>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16">
        <v>84</v>
      </c>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16">
        <v>85</v>
      </c>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16">
        <v>86</v>
      </c>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16">
        <v>87</v>
      </c>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16">
        <v>88</v>
      </c>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16">
        <v>89</v>
      </c>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16">
        <v>90</v>
      </c>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16">
        <v>91</v>
      </c>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16">
        <v>92</v>
      </c>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16">
        <v>93</v>
      </c>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16">
        <v>94</v>
      </c>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16">
        <v>95</v>
      </c>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16">
        <v>96</v>
      </c>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16">
        <v>97</v>
      </c>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16">
        <v>98</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16">
        <v>99</v>
      </c>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16">
        <v>100</v>
      </c>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16">
        <v>101</v>
      </c>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16">
        <v>102</v>
      </c>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16">
        <v>103</v>
      </c>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16">
        <v>104</v>
      </c>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16">
        <v>105</v>
      </c>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16">
        <v>106</v>
      </c>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16">
        <v>107</v>
      </c>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16">
        <v>108</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16">
        <v>109</v>
      </c>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16">
        <v>110</v>
      </c>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16">
        <v>111</v>
      </c>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16">
        <v>112</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16">
        <v>113</v>
      </c>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16">
        <v>114</v>
      </c>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16">
        <v>115</v>
      </c>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16">
        <v>116</v>
      </c>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16">
        <v>117</v>
      </c>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16">
        <v>118</v>
      </c>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16">
        <v>119</v>
      </c>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16">
        <v>120</v>
      </c>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16">
        <v>121</v>
      </c>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16">
        <v>122</v>
      </c>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16">
        <v>123</v>
      </c>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16">
        <v>124</v>
      </c>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16">
        <v>125</v>
      </c>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16">
        <v>126</v>
      </c>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16">
        <v>127</v>
      </c>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16">
        <v>128</v>
      </c>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16">
        <v>129</v>
      </c>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16">
        <v>130</v>
      </c>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16">
        <v>131</v>
      </c>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16">
        <v>132</v>
      </c>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16">
        <v>133</v>
      </c>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16">
        <v>134</v>
      </c>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16">
        <v>135</v>
      </c>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16">
        <v>136</v>
      </c>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16">
        <v>137</v>
      </c>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16">
        <v>138</v>
      </c>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16">
        <v>139</v>
      </c>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16">
        <v>140</v>
      </c>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16">
        <v>141</v>
      </c>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16">
        <v>142</v>
      </c>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16">
        <v>143</v>
      </c>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16">
        <v>144</v>
      </c>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16">
        <v>145</v>
      </c>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16">
        <v>146</v>
      </c>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16">
        <v>147</v>
      </c>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16">
        <v>148</v>
      </c>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16">
        <v>149</v>
      </c>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16">
        <v>150</v>
      </c>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16">
        <v>151</v>
      </c>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16">
        <v>152</v>
      </c>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16">
        <v>153</v>
      </c>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16">
        <v>154</v>
      </c>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16">
        <v>155</v>
      </c>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16">
        <v>156</v>
      </c>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16">
        <v>157</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16">
        <v>158</v>
      </c>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v>159</v>
      </c>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16">
        <v>160</v>
      </c>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16">
        <v>161</v>
      </c>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16">
        <v>162</v>
      </c>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16">
        <v>163</v>
      </c>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16">
        <v>164</v>
      </c>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16">
        <v>165</v>
      </c>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16">
        <v>166</v>
      </c>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16">
        <v>167</v>
      </c>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16">
        <v>168</v>
      </c>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16">
        <v>169</v>
      </c>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16">
        <v>170</v>
      </c>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16">
        <v>171</v>
      </c>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16">
        <v>172</v>
      </c>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6">
        <v>173</v>
      </c>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16">
        <v>174</v>
      </c>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16">
        <v>175</v>
      </c>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16">
        <v>176</v>
      </c>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16">
        <v>177</v>
      </c>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16">
        <v>178</v>
      </c>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16">
        <v>179</v>
      </c>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v>180</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v>181</v>
      </c>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v>182</v>
      </c>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v>183</v>
      </c>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v>184</v>
      </c>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v>185</v>
      </c>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v>186</v>
      </c>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v>187</v>
      </c>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v>188</v>
      </c>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v>189</v>
      </c>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v>190</v>
      </c>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v>191</v>
      </c>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v>192</v>
      </c>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v>193</v>
      </c>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v>194</v>
      </c>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v>195</v>
      </c>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v>196</v>
      </c>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v>197</v>
      </c>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v>198</v>
      </c>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v>199</v>
      </c>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v>200</v>
      </c>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v>201</v>
      </c>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v>202</v>
      </c>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v>203</v>
      </c>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v>204</v>
      </c>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v>205</v>
      </c>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v>206</v>
      </c>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v>207</v>
      </c>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v>208</v>
      </c>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v>209</v>
      </c>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v>210</v>
      </c>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v>211</v>
      </c>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v>212</v>
      </c>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v>213</v>
      </c>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v>214</v>
      </c>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v>215</v>
      </c>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v>216</v>
      </c>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v>217</v>
      </c>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v>218</v>
      </c>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v>219</v>
      </c>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v>220</v>
      </c>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v>221</v>
      </c>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v>222</v>
      </c>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v>223</v>
      </c>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v>224</v>
      </c>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v>225</v>
      </c>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v>226</v>
      </c>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v>227</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v>228</v>
      </c>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v>229</v>
      </c>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v>230</v>
      </c>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v>231</v>
      </c>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v>232</v>
      </c>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v>233</v>
      </c>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v>234</v>
      </c>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v>235</v>
      </c>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v>236</v>
      </c>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v>237</v>
      </c>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v>238</v>
      </c>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v>239</v>
      </c>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v>240</v>
      </c>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v>241</v>
      </c>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v>242</v>
      </c>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v>243</v>
      </c>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v>244</v>
      </c>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v>245</v>
      </c>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v>246</v>
      </c>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v>247</v>
      </c>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v>248</v>
      </c>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v>249</v>
      </c>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v>250</v>
      </c>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v>251</v>
      </c>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v>252</v>
      </c>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v>253</v>
      </c>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v>254</v>
      </c>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v>255</v>
      </c>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v>256</v>
      </c>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v>257</v>
      </c>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v>258</v>
      </c>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v>259</v>
      </c>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v>260</v>
      </c>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v>261</v>
      </c>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v>262</v>
      </c>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v>263</v>
      </c>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v>264</v>
      </c>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v>265</v>
      </c>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v>266</v>
      </c>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v>267</v>
      </c>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v>268</v>
      </c>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v>269</v>
      </c>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v>270</v>
      </c>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v>271</v>
      </c>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v>272</v>
      </c>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v>273</v>
      </c>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v>274</v>
      </c>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v>275</v>
      </c>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v>276</v>
      </c>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v>277</v>
      </c>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v>278</v>
      </c>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v>279</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v>280</v>
      </c>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v>281</v>
      </c>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v>282</v>
      </c>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v>283</v>
      </c>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v>284</v>
      </c>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v>285</v>
      </c>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v>286</v>
      </c>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v>287</v>
      </c>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v>288</v>
      </c>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v>289</v>
      </c>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v>290</v>
      </c>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v>291</v>
      </c>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v>292</v>
      </c>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v>293</v>
      </c>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v>294</v>
      </c>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v>295</v>
      </c>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v>296</v>
      </c>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v>297</v>
      </c>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v>298</v>
      </c>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v>299</v>
      </c>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v>300</v>
      </c>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sheetData>
  <sheetProtection algorithmName="SHA-512" hashValue="vPric68iSXexAkicSdFZNJGPbyOT8uhTZfsGxMMmh6cH8iEFtF0cfm3SdMMPHvTnXiqV1pc3G9sfcBGiarA8Tg==" saltValue="fb6lKYyaO2z/N7fIJHKHvA==" spinCount="100000" sheet="1" formatCells="0" formatColumns="0" formatRows="0" insertColumns="0" insertRows="0" insertHyperlinks="0" deleteColumns="0" deleteRows="0" sort="0" autoFilter="0" pivotTables="0"/>
  <pageMargins left="0.511811024" right="0.511811024" top="0.78740157499999996" bottom="0.78740157499999996" header="0" footer="0"/>
  <pageSetup orientation="landscape" r:id="rId1"/>
  <tableParts count="9">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8929-38AD-4433-AAC2-AD1570A1FB6F}">
  <sheetPr>
    <tabColor theme="7" tint="0.59999389629810485"/>
  </sheetPr>
  <dimension ref="B1:K32"/>
  <sheetViews>
    <sheetView showGridLines="0" showRowColHeaders="0" workbookViewId="0">
      <selection activeCell="D30" sqref="D30"/>
    </sheetView>
  </sheetViews>
  <sheetFormatPr defaultRowHeight="15"/>
  <cols>
    <col min="1" max="1" width="2.5703125" customWidth="1"/>
    <col min="2" max="4" width="21" customWidth="1"/>
    <col min="5" max="5" width="13" hidden="1" customWidth="1"/>
    <col min="6" max="6" width="9.7109375" hidden="1" customWidth="1"/>
    <col min="7" max="8" width="13.42578125" customWidth="1"/>
    <col min="9" max="9" width="12.140625" hidden="1" customWidth="1"/>
    <col min="10" max="10" width="10.85546875" hidden="1" customWidth="1"/>
    <col min="11" max="11" width="12.28515625" hidden="1" customWidth="1"/>
    <col min="12" max="12" width="12.85546875" customWidth="1"/>
  </cols>
  <sheetData>
    <row r="1" spans="2:11" ht="3.75" customHeight="1"/>
    <row r="2" spans="2:11" ht="3.75" customHeight="1"/>
    <row r="3" spans="2:11" ht="6.75" customHeight="1"/>
    <row r="4" spans="2:11">
      <c r="B4" s="315" t="s">
        <v>305</v>
      </c>
      <c r="C4" s="321"/>
      <c r="D4" s="321"/>
      <c r="E4" s="321"/>
      <c r="F4" s="321"/>
      <c r="G4" s="321"/>
      <c r="H4" s="321"/>
    </row>
    <row r="5" spans="2:11">
      <c r="B5" s="226" t="s">
        <v>8</v>
      </c>
      <c r="C5" s="226" t="s">
        <v>9</v>
      </c>
      <c r="D5" s="226" t="s">
        <v>10</v>
      </c>
      <c r="E5" s="182"/>
      <c r="F5" s="182"/>
      <c r="G5" s="322" t="s">
        <v>88</v>
      </c>
      <c r="H5" s="322"/>
    </row>
    <row r="6" spans="2:11">
      <c r="B6" s="223"/>
      <c r="C6" s="223"/>
      <c r="D6" s="223"/>
      <c r="E6" s="50"/>
      <c r="F6" s="50"/>
      <c r="G6" s="323">
        <f>D6+(C6*30)+(B6*360)</f>
        <v>0</v>
      </c>
      <c r="H6" s="323"/>
    </row>
    <row r="7" spans="2:11">
      <c r="B7" s="223"/>
      <c r="C7" s="223"/>
      <c r="D7" s="223"/>
      <c r="E7" s="50"/>
      <c r="F7" s="50"/>
      <c r="G7" s="323">
        <f t="shared" ref="G7:G10" si="0">D7+(C7*30)+(B7*360)</f>
        <v>0</v>
      </c>
      <c r="H7" s="323"/>
    </row>
    <row r="8" spans="2:11">
      <c r="B8" s="223"/>
      <c r="C8" s="223"/>
      <c r="D8" s="223"/>
      <c r="E8" s="50"/>
      <c r="F8" s="50"/>
      <c r="G8" s="323">
        <f t="shared" si="0"/>
        <v>0</v>
      </c>
      <c r="H8" s="323"/>
    </row>
    <row r="9" spans="2:11">
      <c r="B9" s="223"/>
      <c r="C9" s="223"/>
      <c r="D9" s="223"/>
      <c r="E9" s="50"/>
      <c r="F9" s="50"/>
      <c r="G9" s="323">
        <f t="shared" si="0"/>
        <v>0</v>
      </c>
      <c r="H9" s="323"/>
    </row>
    <row r="10" spans="2:11">
      <c r="B10" s="223"/>
      <c r="C10" s="223"/>
      <c r="D10" s="223"/>
      <c r="E10" s="50"/>
      <c r="F10" s="50"/>
      <c r="G10" s="323">
        <f t="shared" si="0"/>
        <v>0</v>
      </c>
      <c r="H10" s="323"/>
    </row>
    <row r="11" spans="2:11">
      <c r="B11" s="195">
        <f>IF(SUM(D6:D10)&lt;=30,IF(SUM(C6:C10)&lt;=11,SUM(B6:B10),IF(SUM(C6:C10)&lt;=23,SUM(B6:B10)+1,IF(SUM(C6:C10)&lt;=35,SUM(B6:B10)+2,SUM(B6:B10)+3))),
IF(SUM(D6:D10)&lt;=60,IF(SUM(C6:C10)+1&lt;=11,SUM(B6:B10),IF(SUM(C6:C10)+1&lt;=23,SUM(B6:B10)+1,IF(SUM(C6:C10)+1&lt;=35,SUM(B6:B10)+2,SUM(B6:B10)+3))),
IF(SUM(D6:D10)&lt;=90,IF(SUM(C6:C10)+2&lt;=11,SUM(B6:B10),IF(SUM(C6:C10)+2&lt;=23,SUM(B6:B10)+1,IF(SUM(C6:C10)+2&lt;=35,SUM(B6:B10)+2,SUM(B6:B10)+3))),
"ERRO")))</f>
        <v>0</v>
      </c>
      <c r="C11" s="195">
        <f>IF(SUM(D6:D10)&lt;=30,(IF(SUM(C6:C10)&lt;=11,SUM(C6:C10),IF(SUM(C6:C10)&lt;=23,SUM(C6:C10)-12,IF(SUM(C6:C10)&lt;=35,SUM(C6:C10)-24,SUM(C6:C10)-36)))),
IF(SUM(D6:D10)&lt;=60,(IF(SUM(C6:C10)+1&lt;=11,SUM(C6:C10)+1,IF(SUM(C6:C10)+1&lt;=23,SUM(C6:C10)+1-12,IF(SUM(C6:C10)+1&lt;=35,SUM(C6:C10)+1-24,SUM(C6:C10)+1-36)))),
IF(SUM(D6:D10)&lt;=90,(IF(SUM(C6:C10)+2&lt;=11,SUM(C6:C10)+2,IF(SUM(C6:C10)+2&lt;=23,SUM(C6:C10)+2-12,IF(SUM(C6:C10)+2&lt;=35,SUM(C6:C10)+2-24,SUM(C6:C10)+2-36)))),"ERRO")))</f>
        <v>0</v>
      </c>
      <c r="D11" s="195">
        <f>IF(SUM(D6:D10)&lt;=30,SUM(D6:D10),
IF(SUM(D6:D10)&lt;=60,SUM(D6:D10)-30,
IF(SUM(D6:D10)&lt;=90,SUM(D6:D10)-60,
"ERRO")))</f>
        <v>0</v>
      </c>
      <c r="G11" s="323">
        <f>SUM(G6:G10)</f>
        <v>0</v>
      </c>
      <c r="H11" s="323"/>
    </row>
    <row r="14" spans="2:11">
      <c r="B14" s="315" t="s">
        <v>306</v>
      </c>
      <c r="C14" s="321"/>
      <c r="D14" s="321"/>
      <c r="E14" s="321"/>
      <c r="F14" s="321"/>
      <c r="G14" s="321"/>
      <c r="H14" s="321"/>
    </row>
    <row r="15" spans="2:11">
      <c r="B15" s="226" t="s">
        <v>8</v>
      </c>
      <c r="C15" s="226" t="s">
        <v>9</v>
      </c>
      <c r="D15" s="226" t="s">
        <v>10</v>
      </c>
      <c r="E15" s="182"/>
      <c r="F15" s="182"/>
      <c r="G15" s="322" t="s">
        <v>88</v>
      </c>
      <c r="H15" s="322"/>
    </row>
    <row r="16" spans="2:11">
      <c r="B16" s="223"/>
      <c r="C16" s="223"/>
      <c r="D16" s="223"/>
      <c r="E16" s="50"/>
      <c r="F16" s="50"/>
      <c r="G16" s="323">
        <f>D16+(C16*30)+(B16*360)</f>
        <v>0</v>
      </c>
      <c r="H16" s="323"/>
      <c r="I16" s="48">
        <f>G16/360</f>
        <v>0</v>
      </c>
      <c r="J16" s="48">
        <f>((G16/360)-ROUNDDOWN((G16/360),0))*12</f>
        <v>0</v>
      </c>
      <c r="K16" s="48">
        <f>((((G16/360)-ROUNDDOWN((G16/360),0))*12)-ROUNDDOWN((((G16/360)-ROUNDDOWN((G16/360),0))*12),0))*30</f>
        <v>0</v>
      </c>
    </row>
    <row r="17" spans="2:11">
      <c r="B17" s="183"/>
      <c r="C17" s="183"/>
      <c r="D17" s="183"/>
      <c r="E17" s="50"/>
      <c r="F17" s="50"/>
      <c r="G17" s="320">
        <f t="shared" ref="G17" si="1">D17+(C17*30)+(B17*360)</f>
        <v>0</v>
      </c>
      <c r="H17" s="320"/>
      <c r="I17" s="48">
        <f t="shared" ref="I17:I18" si="2">G17/360</f>
        <v>0</v>
      </c>
      <c r="J17" s="48">
        <f t="shared" ref="J17:J18" si="3">((G17/360)-ROUNDDOWN((G17/360),0))*12</f>
        <v>0</v>
      </c>
      <c r="K17" s="48">
        <f t="shared" ref="K17:K18" si="4">((((G17/360)-ROUNDDOWN((G17/360),0))*12)-ROUNDDOWN((((G17/360)-ROUNDDOWN((G17/360),0))*12),0))*30</f>
        <v>0</v>
      </c>
    </row>
    <row r="18" spans="2:11">
      <c r="B18" s="311" t="str">
        <f>""&amp;ROUNDDOWN(I18,0)&amp;" anos "&amp;ROUNDDOWN(J18,0)&amp;" meses "&amp;ROUNDUP(K18,0)&amp;" dias"</f>
        <v>0 anos 0 meses 0 dias</v>
      </c>
      <c r="C18" s="312"/>
      <c r="D18" s="312"/>
      <c r="E18" s="312"/>
      <c r="F18" s="313"/>
      <c r="G18" s="314">
        <f>G16-G17</f>
        <v>0</v>
      </c>
      <c r="H18" s="314"/>
      <c r="I18" s="48">
        <f t="shared" si="2"/>
        <v>0</v>
      </c>
      <c r="J18" s="48">
        <f t="shared" si="3"/>
        <v>0</v>
      </c>
      <c r="K18" s="48">
        <f t="shared" si="4"/>
        <v>0</v>
      </c>
    </row>
    <row r="19" spans="2:11">
      <c r="B19" s="184"/>
      <c r="C19" s="184"/>
      <c r="D19" s="184"/>
      <c r="E19" s="184"/>
      <c r="F19" s="184"/>
      <c r="G19" s="185"/>
      <c r="H19" s="185"/>
      <c r="I19" s="186"/>
      <c r="J19" s="186"/>
      <c r="K19" s="186"/>
    </row>
    <row r="20" spans="2:11">
      <c r="B20" s="184"/>
      <c r="C20" s="184"/>
      <c r="D20" s="184"/>
      <c r="E20" s="184"/>
      <c r="F20" s="184"/>
      <c r="G20" s="185"/>
      <c r="H20" s="185"/>
      <c r="I20" s="186"/>
      <c r="J20" s="186"/>
      <c r="K20" s="186"/>
    </row>
    <row r="21" spans="2:11">
      <c r="B21" s="315" t="s">
        <v>307</v>
      </c>
      <c r="C21" s="316"/>
      <c r="D21" s="316"/>
      <c r="E21" s="316"/>
      <c r="F21" s="316"/>
      <c r="G21" s="316"/>
      <c r="H21" s="316"/>
    </row>
    <row r="22" spans="2:11">
      <c r="B22" s="317" t="s">
        <v>308</v>
      </c>
      <c r="C22" s="318"/>
      <c r="D22" s="319"/>
      <c r="E22" s="187" t="s">
        <v>309</v>
      </c>
      <c r="F22" s="188" t="s">
        <v>310</v>
      </c>
      <c r="G22" s="309" t="s">
        <v>311</v>
      </c>
      <c r="H22" s="309" t="s">
        <v>312</v>
      </c>
    </row>
    <row r="23" spans="2:11">
      <c r="B23" s="189" t="s">
        <v>8</v>
      </c>
      <c r="C23" s="189" t="s">
        <v>313</v>
      </c>
      <c r="D23" s="189" t="s">
        <v>10</v>
      </c>
      <c r="E23" s="187"/>
      <c r="F23" s="187"/>
      <c r="G23" s="310"/>
      <c r="H23" s="310"/>
    </row>
    <row r="24" spans="2:11">
      <c r="B24" s="190"/>
      <c r="C24" s="190"/>
      <c r="D24" s="190"/>
      <c r="E24" s="191">
        <f t="shared" ref="E24" si="5">D24+(C24*30)+(B24*360)</f>
        <v>0</v>
      </c>
      <c r="F24" s="191">
        <f t="shared" ref="F24" si="6">D24+(C24*30)+(B24*365)</f>
        <v>0</v>
      </c>
      <c r="G24" s="192">
        <v>46016</v>
      </c>
      <c r="H24" s="196">
        <f>G24+((F24/365)*365.25)</f>
        <v>46016</v>
      </c>
    </row>
    <row r="27" spans="2:11">
      <c r="B27" s="306" t="s">
        <v>314</v>
      </c>
      <c r="C27" s="307"/>
      <c r="D27" s="307"/>
      <c r="E27" s="307"/>
      <c r="F27" s="308"/>
    </row>
    <row r="28" spans="2:11">
      <c r="B28" s="309" t="s">
        <v>311</v>
      </c>
      <c r="C28" s="309" t="s">
        <v>312</v>
      </c>
      <c r="D28" s="309" t="s">
        <v>315</v>
      </c>
      <c r="E28" s="227"/>
      <c r="F28" s="189" t="s">
        <v>316</v>
      </c>
    </row>
    <row r="29" spans="2:11">
      <c r="B29" s="310"/>
      <c r="C29" s="310"/>
      <c r="D29" s="310"/>
      <c r="E29" s="228"/>
      <c r="F29" s="189"/>
    </row>
    <row r="30" spans="2:11">
      <c r="B30" s="192"/>
      <c r="C30" s="192"/>
      <c r="D30" s="196" t="str">
        <f>"   "&amp;DATEDIF(0,F30,"y")&amp;" anos "&amp;DATEDIF(0,F30,"ym")&amp;" meses "&amp;DATEDIF(0,F30,"md")&amp;" dias"</f>
        <v xml:space="preserve">   0 anos 0 meses 0 dias</v>
      </c>
      <c r="E30" s="192"/>
      <c r="F30" s="193">
        <f>C30-B30</f>
        <v>0</v>
      </c>
    </row>
    <row r="32" spans="2:11">
      <c r="J32" s="194"/>
    </row>
  </sheetData>
  <protectedRanges>
    <protectedRange sqref="B16:D17" name="Intervalo4"/>
    <protectedRange sqref="B30:C30" name="Intervalo2"/>
    <protectedRange sqref="B24:G24" name="Intervalo1"/>
    <protectedRange sqref="B6:D10 B16:D17" name="Intervalo3"/>
  </protectedRanges>
  <mergeCells count="22">
    <mergeCell ref="G17:H17"/>
    <mergeCell ref="B4:H4"/>
    <mergeCell ref="G5:H5"/>
    <mergeCell ref="G6:H6"/>
    <mergeCell ref="G7:H7"/>
    <mergeCell ref="G8:H8"/>
    <mergeCell ref="G9:H9"/>
    <mergeCell ref="G10:H10"/>
    <mergeCell ref="G11:H11"/>
    <mergeCell ref="B14:H14"/>
    <mergeCell ref="G15:H15"/>
    <mergeCell ref="G16:H16"/>
    <mergeCell ref="G18:H18"/>
    <mergeCell ref="B21:H21"/>
    <mergeCell ref="B22:D22"/>
    <mergeCell ref="G22:G23"/>
    <mergeCell ref="H22:H23"/>
    <mergeCell ref="B27:F27"/>
    <mergeCell ref="B28:B29"/>
    <mergeCell ref="C28:C29"/>
    <mergeCell ref="D28:D29"/>
    <mergeCell ref="B18:F18"/>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Tatiana Abreu</dc:creator>
  <cp:keywords/>
  <dc:description/>
  <cp:lastModifiedBy/>
  <cp:revision/>
  <dcterms:created xsi:type="dcterms:W3CDTF">2024-03-16T17:46:33Z</dcterms:created>
  <dcterms:modified xsi:type="dcterms:W3CDTF">2026-07-15T20:48:10Z</dcterms:modified>
  <cp:category/>
  <cp:contentStatus/>
</cp:coreProperties>
</file>